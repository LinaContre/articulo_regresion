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es_Datos" sheetId="1" state="visible" r:id="rId3"/>
    <sheet name="Regres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<sst xmlns="http://schemas.openxmlformats.org/spreadsheetml/2006/main" count="246" uniqueCount="139">
  <si>
    <t xml:space="preserve">ID Estación</t>
  </si>
  <si>
    <t xml:space="preserve">Provincia</t>
  </si>
  <si>
    <t xml:space="preserve">Altitud (m)</t>
  </si>
  <si>
    <t xml:space="preserve">Distancia al mar (km)</t>
  </si>
  <si>
    <t xml:space="preserve">Latitud (°N)</t>
  </si>
  <si>
    <t xml:space="preserve">Precip. Observada (mm)</t>
  </si>
  <si>
    <t xml:space="preserve">Precip. Estimada (mm)</t>
  </si>
  <si>
    <t xml:space="preserve">Residuo (mm)</t>
  </si>
  <si>
    <t xml:space="preserve">EST-001</t>
  </si>
  <si>
    <t xml:space="preserve">Valencia</t>
  </si>
  <si>
    <t xml:space="preserve">EST-002</t>
  </si>
  <si>
    <t xml:space="preserve">EST-003</t>
  </si>
  <si>
    <t xml:space="preserve">Alicante</t>
  </si>
  <si>
    <t xml:space="preserve">EST-004</t>
  </si>
  <si>
    <t xml:space="preserve">EST-005</t>
  </si>
  <si>
    <t xml:space="preserve">EST-006</t>
  </si>
  <si>
    <t xml:space="preserve">EST-007</t>
  </si>
  <si>
    <t xml:space="preserve">Castellón</t>
  </si>
  <si>
    <t xml:space="preserve">EST-008</t>
  </si>
  <si>
    <t xml:space="preserve">EST-009</t>
  </si>
  <si>
    <t xml:space="preserve">EST-010</t>
  </si>
  <si>
    <t xml:space="preserve">EST-011</t>
  </si>
  <si>
    <t xml:space="preserve">EST-012</t>
  </si>
  <si>
    <t xml:space="preserve">EST-013</t>
  </si>
  <si>
    <t xml:space="preserve">EST-014</t>
  </si>
  <si>
    <t xml:space="preserve">EST-015</t>
  </si>
  <si>
    <t xml:space="preserve">EST-016</t>
  </si>
  <si>
    <t xml:space="preserve">EST-017</t>
  </si>
  <si>
    <t xml:space="preserve">EST-018</t>
  </si>
  <si>
    <t xml:space="preserve">EST-019</t>
  </si>
  <si>
    <t xml:space="preserve">EST-020</t>
  </si>
  <si>
    <t xml:space="preserve">EST-021</t>
  </si>
  <si>
    <t xml:space="preserve">EST-022</t>
  </si>
  <si>
    <t xml:space="preserve">EST-023</t>
  </si>
  <si>
    <t xml:space="preserve">EST-024</t>
  </si>
  <si>
    <t xml:space="preserve">EST-025</t>
  </si>
  <si>
    <t xml:space="preserve">EST-026</t>
  </si>
  <si>
    <t xml:space="preserve">EST-027</t>
  </si>
  <si>
    <t xml:space="preserve">EST-028</t>
  </si>
  <si>
    <t xml:space="preserve">EST-029</t>
  </si>
  <si>
    <t xml:space="preserve">EST-030</t>
  </si>
  <si>
    <t xml:space="preserve">EST-031</t>
  </si>
  <si>
    <t xml:space="preserve">EST-032</t>
  </si>
  <si>
    <t xml:space="preserve">EST-033</t>
  </si>
  <si>
    <t xml:space="preserve">EST-034</t>
  </si>
  <si>
    <t xml:space="preserve">EST-035</t>
  </si>
  <si>
    <t xml:space="preserve">EST-036</t>
  </si>
  <si>
    <t xml:space="preserve">EST-037</t>
  </si>
  <si>
    <t xml:space="preserve">EST-038</t>
  </si>
  <si>
    <t xml:space="preserve">EST-039</t>
  </si>
  <si>
    <t xml:space="preserve">EST-040</t>
  </si>
  <si>
    <t xml:space="preserve">EST-041</t>
  </si>
  <si>
    <t xml:space="preserve">EST-042</t>
  </si>
  <si>
    <t xml:space="preserve">EST-043</t>
  </si>
  <si>
    <t xml:space="preserve">EST-044</t>
  </si>
  <si>
    <t xml:space="preserve">EST-045</t>
  </si>
  <si>
    <t xml:space="preserve">EST-046</t>
  </si>
  <si>
    <t xml:space="preserve">EST-047</t>
  </si>
  <si>
    <t xml:space="preserve">EST-048</t>
  </si>
  <si>
    <t xml:space="preserve">EST-049</t>
  </si>
  <si>
    <t xml:space="preserve">EST-050</t>
  </si>
  <si>
    <t xml:space="preserve">EST-051</t>
  </si>
  <si>
    <t xml:space="preserve">EST-052</t>
  </si>
  <si>
    <t xml:space="preserve">EST-053</t>
  </si>
  <si>
    <t xml:space="preserve">EST-054</t>
  </si>
  <si>
    <t xml:space="preserve">EST-055</t>
  </si>
  <si>
    <t xml:space="preserve">EST-056</t>
  </si>
  <si>
    <t xml:space="preserve">EST-057</t>
  </si>
  <si>
    <t xml:space="preserve">EST-058</t>
  </si>
  <si>
    <t xml:space="preserve">EST-059</t>
  </si>
  <si>
    <t xml:space="preserve">EST-060</t>
  </si>
  <si>
    <t xml:space="preserve">EST-061</t>
  </si>
  <si>
    <t xml:space="preserve">EST-062</t>
  </si>
  <si>
    <t xml:space="preserve">EST-063</t>
  </si>
  <si>
    <t xml:space="preserve">EST-064</t>
  </si>
  <si>
    <t xml:space="preserve">EST-065</t>
  </si>
  <si>
    <t xml:space="preserve">EST-066</t>
  </si>
  <si>
    <t xml:space="preserve">EST-067</t>
  </si>
  <si>
    <t xml:space="preserve">EST-068</t>
  </si>
  <si>
    <t xml:space="preserve">EST-069</t>
  </si>
  <si>
    <t xml:space="preserve">EST-070</t>
  </si>
  <si>
    <t xml:space="preserve">EST-071</t>
  </si>
  <si>
    <t xml:space="preserve">EST-072</t>
  </si>
  <si>
    <t xml:space="preserve">EST-073</t>
  </si>
  <si>
    <t xml:space="preserve">EST-074</t>
  </si>
  <si>
    <t xml:space="preserve">EST-075</t>
  </si>
  <si>
    <t xml:space="preserve">EST-076</t>
  </si>
  <si>
    <t xml:space="preserve">EST-077</t>
  </si>
  <si>
    <t xml:space="preserve">EST-078</t>
  </si>
  <si>
    <t xml:space="preserve">EST-079</t>
  </si>
  <si>
    <t xml:space="preserve">EST-080</t>
  </si>
  <si>
    <t xml:space="preserve">EST-081</t>
  </si>
  <si>
    <t xml:space="preserve">EST-082</t>
  </si>
  <si>
    <t xml:space="preserve">EST-083</t>
  </si>
  <si>
    <t xml:space="preserve">EST-084</t>
  </si>
  <si>
    <t xml:space="preserve">EST-085</t>
  </si>
  <si>
    <t xml:space="preserve">EST-086</t>
  </si>
  <si>
    <t xml:space="preserve">EST-087</t>
  </si>
  <si>
    <t xml:space="preserve">EST-088</t>
  </si>
  <si>
    <t xml:space="preserve">EST-089</t>
  </si>
  <si>
    <t xml:space="preserve">EST-090</t>
  </si>
  <si>
    <t xml:space="preserve">EST-091</t>
  </si>
  <si>
    <t xml:space="preserve">EST-092</t>
  </si>
  <si>
    <t xml:space="preserve">EST-093</t>
  </si>
  <si>
    <t xml:space="preserve">EST-094</t>
  </si>
  <si>
    <t xml:space="preserve">EST-095</t>
  </si>
  <si>
    <t xml:space="preserve">EST-096</t>
  </si>
  <si>
    <t xml:space="preserve">EST-097</t>
  </si>
  <si>
    <t xml:space="preserve">EST-098</t>
  </si>
  <si>
    <t xml:space="preserve">EST-099</t>
  </si>
  <si>
    <t xml:space="preserve">EST-100</t>
  </si>
  <si>
    <t xml:space="preserve">EST-101</t>
  </si>
  <si>
    <t xml:space="preserve">EST-102</t>
  </si>
  <si>
    <t xml:space="preserve">EST-103</t>
  </si>
  <si>
    <t xml:space="preserve">EST-104</t>
  </si>
  <si>
    <t xml:space="preserve">EST-105</t>
  </si>
  <si>
    <t xml:space="preserve">EST-106</t>
  </si>
  <si>
    <t xml:space="preserve">EST-107</t>
  </si>
  <si>
    <t xml:space="preserve">EST-108</t>
  </si>
  <si>
    <t xml:space="preserve">EST-109</t>
  </si>
  <si>
    <t xml:space="preserve">EST-110</t>
  </si>
  <si>
    <t xml:space="preserve">Regresión lineal múltiple: Precip. Observada = b0 + b1·Altitud + b2·Distancia al mar + b3·Latitud</t>
  </si>
  <si>
    <t xml:space="preserve">Término</t>
  </si>
  <si>
    <t xml:space="preserve">Coeficiente</t>
  </si>
  <si>
    <t xml:space="preserve">Error estándar</t>
  </si>
  <si>
    <t xml:space="preserve">Estadístico t</t>
  </si>
  <si>
    <t xml:space="preserve">p-valor</t>
  </si>
  <si>
    <t xml:space="preserve">Intercepto (b0)</t>
  </si>
  <si>
    <t xml:space="preserve">Altitud (b1)</t>
  </si>
  <si>
    <t xml:space="preserve">Distancia al mar (b2)</t>
  </si>
  <si>
    <t xml:space="preserve">Latitud (b3)</t>
  </si>
  <si>
    <t xml:space="preserve">Ajuste del modelo</t>
  </si>
  <si>
    <t xml:space="preserve">R²</t>
  </si>
  <si>
    <t xml:space="preserve">Error estándar residual (mm)</t>
  </si>
  <si>
    <t xml:space="preserve">Grados de libertad</t>
  </si>
  <si>
    <t xml:space="preserve">Estadístico F</t>
  </si>
  <si>
    <t xml:space="preserve">Nº de estaciones</t>
  </si>
  <si>
    <t xml:space="preserve">Suma de residuos (comprobación ≈ 0)</t>
  </si>
  <si>
    <t xml:space="preserve">Notas: los coeficientes se calculan con LINEST sobre las 110 estaciones (mínimos cuadrados ordinarios); si cambian los datos, todo se recalcula.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</si>
</sst>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0.0000"/>
    <numFmt numFmtId="167" formatCode="0.00"/>
    <numFmt numFmtId="168" formatCode="0.000000"/>
    <numFmt numFmtId="169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1"/>
      <color rgb="FF595959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25"/>
    <col collapsed="false" customWidth="true" hidden="false" outlineLevel="0" max="7" min="7" style="0" width="24"/>
    <col collapsed="false" customWidth="true" hidden="false" outlineLevel="0" max="8" min="8" style="0" width="22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2" t="s">
        <v>8</v>
      </c>
      <c r="B2" s="3" t="s">
        <v>9</v>
      </c>
      <c r="C2" s="4" t="n">
        <v>474.42974737073</v>
      </c>
      <c r="D2" s="4" t="n">
        <v>31.8443996501181</v>
      </c>
      <c r="E2" s="5" t="n">
        <v>39.757077387671</v>
      </c>
      <c r="F2" s="6" t="n">
        <v>86.1375658577724</v>
      </c>
      <c r="G2" s="7" t="n">
        <f aca="false">Regresion!$B$4 + (Regresion!$B$5 * C2) + (Regresion!$B$6 * D2) + (Regresion!$B$7 * E2)</f>
        <v>78.582435270773</v>
      </c>
      <c r="H2" s="7" t="n">
        <f aca="false">F2 - G2</f>
        <v>7.55513058699941</v>
      </c>
    </row>
    <row r="3" customFormat="false" ht="14.25" hidden="false" customHeight="false" outlineLevel="0" collapsed="false">
      <c r="A3" s="2" t="s">
        <v>10</v>
      </c>
      <c r="B3" s="3" t="s">
        <v>9</v>
      </c>
      <c r="C3" s="4" t="n">
        <v>1188.8857399483</v>
      </c>
      <c r="D3" s="4" t="n">
        <v>18.6057925871625</v>
      </c>
      <c r="E3" s="5" t="n">
        <v>39.4980949496729</v>
      </c>
      <c r="F3" s="6" t="n">
        <v>100.170881976973</v>
      </c>
      <c r="G3" s="7" t="n">
        <f aca="false">Regresion!$B$4 + (Regresion!$B$5 * C3) + (Regresion!$B$6 * D3) + (Regresion!$B$7 * E3)</f>
        <v>105.32612351557</v>
      </c>
      <c r="H3" s="7" t="n">
        <f aca="false">F3 - G3</f>
        <v>-5.15524153859629</v>
      </c>
    </row>
    <row r="4" customFormat="false" ht="14.25" hidden="false" customHeight="false" outlineLevel="0" collapsed="false">
      <c r="A4" s="2" t="s">
        <v>11</v>
      </c>
      <c r="B4" s="3" t="s">
        <v>12</v>
      </c>
      <c r="C4" s="4" t="n">
        <v>917.672487846142</v>
      </c>
      <c r="D4" s="4" t="n">
        <v>97.758858191285</v>
      </c>
      <c r="E4" s="5" t="n">
        <v>38.1216568267015</v>
      </c>
      <c r="F4" s="6" t="n">
        <v>70.0653937401396</v>
      </c>
      <c r="G4" s="7" t="n">
        <f aca="false">Regresion!$B$4 + (Regresion!$B$5 * C4) + (Regresion!$B$6 * D4) + (Regresion!$B$7 * E4)</f>
        <v>66.1426900471342</v>
      </c>
      <c r="H4" s="7" t="n">
        <f aca="false">F4 - G4</f>
        <v>3.92270369300545</v>
      </c>
    </row>
    <row r="5" customFormat="false" ht="14.25" hidden="false" customHeight="false" outlineLevel="0" collapsed="false">
      <c r="A5" s="2" t="s">
        <v>13</v>
      </c>
      <c r="B5" s="3" t="s">
        <v>9</v>
      </c>
      <c r="C5" s="4" t="n">
        <v>752.336520404325</v>
      </c>
      <c r="D5" s="4" t="n">
        <v>85.2363990951349</v>
      </c>
      <c r="E5" s="5" t="n">
        <v>38.9163758288724</v>
      </c>
      <c r="F5" s="6" t="n">
        <v>74.2785508642321</v>
      </c>
      <c r="G5" s="7" t="n">
        <f aca="false">Regresion!$B$4 + (Regresion!$B$5 * C5) + (Regresion!$B$6 * D5) + (Regresion!$B$7 * E5)</f>
        <v>68.701526620191</v>
      </c>
      <c r="H5" s="7" t="n">
        <f aca="false">F5 - G5</f>
        <v>5.57702424404111</v>
      </c>
    </row>
    <row r="6" customFormat="false" ht="14.25" hidden="false" customHeight="false" outlineLevel="0" collapsed="false">
      <c r="A6" s="2" t="s">
        <v>14</v>
      </c>
      <c r="B6" s="3" t="s">
        <v>12</v>
      </c>
      <c r="C6" s="4" t="n">
        <v>203.463114148621</v>
      </c>
      <c r="D6" s="4" t="n">
        <v>67.2405869205736</v>
      </c>
      <c r="E6" s="5" t="n">
        <v>38.619086866277</v>
      </c>
      <c r="F6" s="6" t="n">
        <v>46.7121566885535</v>
      </c>
      <c r="G6" s="7" t="n">
        <f aca="false">Regresion!$B$4 + (Regresion!$B$5 * C6) + (Regresion!$B$6 * D6) + (Regresion!$B$7 * E6)</f>
        <v>52.6100525402261</v>
      </c>
      <c r="H6" s="7" t="n">
        <f aca="false">F6 - G6</f>
        <v>-5.8978958516726</v>
      </c>
    </row>
    <row r="7" customFormat="false" ht="14.25" hidden="false" customHeight="false" outlineLevel="0" collapsed="false">
      <c r="A7" s="2" t="s">
        <v>15</v>
      </c>
      <c r="B7" s="3" t="s">
        <v>12</v>
      </c>
      <c r="C7" s="4" t="n">
        <v>203.433205216891</v>
      </c>
      <c r="D7" s="4" t="n">
        <v>91.7604407893349</v>
      </c>
      <c r="E7" s="5" t="n">
        <v>38.5575699657994</v>
      </c>
      <c r="F7" s="6" t="n">
        <v>45.8197414902334</v>
      </c>
      <c r="G7" s="7" t="n">
        <f aca="false">Regresion!$B$4 + (Regresion!$B$5 * C7) + (Regresion!$B$6 * D7) + (Regresion!$B$7 * E7)</f>
        <v>45.6595900515264</v>
      </c>
      <c r="H7" s="7" t="n">
        <f aca="false">F7 - G7</f>
        <v>0.160151438706954</v>
      </c>
    </row>
    <row r="8" customFormat="false" ht="14.25" hidden="false" customHeight="false" outlineLevel="0" collapsed="false">
      <c r="A8" s="2" t="s">
        <v>16</v>
      </c>
      <c r="B8" s="3" t="s">
        <v>17</v>
      </c>
      <c r="C8" s="4" t="n">
        <v>82.0236790885673</v>
      </c>
      <c r="D8" s="4" t="n">
        <v>84.7782239206088</v>
      </c>
      <c r="E8" s="5" t="n">
        <v>40.6717306087821</v>
      </c>
      <c r="F8" s="6" t="n">
        <v>35.1834110370753</v>
      </c>
      <c r="G8" s="7" t="n">
        <f aca="false">Regresion!$B$4 + (Regresion!$B$5 * C8) + (Regresion!$B$6 * D8) + (Regresion!$B$7 * E8)</f>
        <v>56.4730755856186</v>
      </c>
      <c r="H8" s="7" t="n">
        <f aca="false">F8 - G8</f>
        <v>-21.2896645485433</v>
      </c>
    </row>
    <row r="9" customFormat="false" ht="14.25" hidden="false" customHeight="false" outlineLevel="0" collapsed="false">
      <c r="A9" s="2" t="s">
        <v>18</v>
      </c>
      <c r="B9" s="3" t="s">
        <v>9</v>
      </c>
      <c r="C9" s="4" t="n">
        <v>1084.05842076092</v>
      </c>
      <c r="D9" s="4" t="n">
        <v>21.2167160652617</v>
      </c>
      <c r="E9" s="5" t="n">
        <v>38.9899834015336</v>
      </c>
      <c r="F9" s="6" t="n">
        <v>90.7598829411132</v>
      </c>
      <c r="G9" s="7" t="n">
        <f aca="false">Regresion!$B$4 + (Regresion!$B$5 * C9) + (Regresion!$B$6 * D9) + (Regresion!$B$7 * E9)</f>
        <v>97.8238753317597</v>
      </c>
      <c r="H9" s="7" t="n">
        <f aca="false">F9 - G9</f>
        <v>-7.06399239064649</v>
      </c>
    </row>
    <row r="10" customFormat="false" ht="14.25" hidden="false" customHeight="false" outlineLevel="0" collapsed="false">
      <c r="A10" s="2" t="s">
        <v>19</v>
      </c>
      <c r="B10" s="3" t="s">
        <v>17</v>
      </c>
      <c r="C10" s="4" t="n">
        <v>755.382614561579</v>
      </c>
      <c r="D10" s="4" t="n">
        <v>93.9335768444677</v>
      </c>
      <c r="E10" s="5" t="n">
        <v>40.4369350100136</v>
      </c>
      <c r="F10" s="6" t="n">
        <v>74.5492876423046</v>
      </c>
      <c r="G10" s="7" t="n">
        <f aca="false">Regresion!$B$4 + (Regresion!$B$5 * C10) + (Regresion!$B$6 * D10) + (Regresion!$B$7 * E10)</f>
        <v>75.9429829040194</v>
      </c>
      <c r="H10" s="7" t="n">
        <f aca="false">F10 - G10</f>
        <v>-1.39369526171481</v>
      </c>
    </row>
    <row r="11" customFormat="false" ht="14.25" hidden="false" customHeight="false" outlineLevel="0" collapsed="false">
      <c r="A11" s="2" t="s">
        <v>20</v>
      </c>
      <c r="B11" s="3" t="s">
        <v>9</v>
      </c>
      <c r="C11" s="4" t="n">
        <v>888.009996467096</v>
      </c>
      <c r="D11" s="4" t="n">
        <v>57.552250917312</v>
      </c>
      <c r="E11" s="5" t="n">
        <v>39.6803020153921</v>
      </c>
      <c r="F11" s="6" t="n">
        <v>77.3899732873894</v>
      </c>
      <c r="G11" s="7" t="n">
        <f aca="false">Regresion!$B$4 + (Regresion!$B$5 * C11) + (Regresion!$B$6 * D11) + (Regresion!$B$7 * E11)</f>
        <v>85.5819835414431</v>
      </c>
      <c r="H11" s="7" t="n">
        <f aca="false">F11 - G11</f>
        <v>-8.19201025405369</v>
      </c>
    </row>
    <row r="12" customFormat="false" ht="14.25" hidden="false" customHeight="false" outlineLevel="0" collapsed="false">
      <c r="A12" s="2" t="s">
        <v>21</v>
      </c>
      <c r="B12" s="3" t="s">
        <v>17</v>
      </c>
      <c r="C12" s="4" t="n">
        <v>35.524772926795</v>
      </c>
      <c r="D12" s="4" t="n">
        <v>85.1663359818984</v>
      </c>
      <c r="E12" s="5" t="n">
        <v>40.1549527802708</v>
      </c>
      <c r="F12" s="6" t="n">
        <v>62.0646843100704</v>
      </c>
      <c r="G12" s="7" t="n">
        <f aca="false">Regresion!$B$4 + (Regresion!$B$5 * C12) + (Regresion!$B$6 * D12) + (Regresion!$B$7 * E12)</f>
        <v>51.5376890256855</v>
      </c>
      <c r="H12" s="7" t="n">
        <f aca="false">F12 - G12</f>
        <v>10.5269952843849</v>
      </c>
    </row>
    <row r="13" customFormat="false" ht="14.25" hidden="false" customHeight="false" outlineLevel="0" collapsed="false">
      <c r="A13" s="2" t="s">
        <v>22</v>
      </c>
      <c r="B13" s="3" t="s">
        <v>9</v>
      </c>
      <c r="C13" s="4" t="n">
        <v>1212.68821668087</v>
      </c>
      <c r="D13" s="4" t="n">
        <v>94.2974038921198</v>
      </c>
      <c r="E13" s="5" t="n">
        <v>39.3076475700051</v>
      </c>
      <c r="F13" s="6" t="n">
        <v>76.1507814391246</v>
      </c>
      <c r="G13" s="7" t="n">
        <f aca="false">Regresion!$B$4 + (Regresion!$B$5 * C13) + (Regresion!$B$6 * D13) + (Regresion!$B$7 * E13)</f>
        <v>84.6967480876914</v>
      </c>
      <c r="H13" s="7" t="n">
        <f aca="false">F13 - G13</f>
        <v>-8.54596664856672</v>
      </c>
    </row>
    <row r="14" customFormat="false" ht="14.25" hidden="false" customHeight="false" outlineLevel="0" collapsed="false">
      <c r="A14" s="2" t="s">
        <v>23</v>
      </c>
      <c r="B14" s="3" t="s">
        <v>9</v>
      </c>
      <c r="C14" s="4" t="n">
        <v>1042.22887459252</v>
      </c>
      <c r="D14" s="4" t="n">
        <v>34.754357922102</v>
      </c>
      <c r="E14" s="5" t="n">
        <v>39.5230212654164</v>
      </c>
      <c r="F14" s="6" t="n">
        <v>92.8510190994485</v>
      </c>
      <c r="G14" s="7" t="n">
        <f aca="false">Regresion!$B$4 + (Regresion!$B$5 * C14) + (Regresion!$B$6 * D14) + (Regresion!$B$7 * E14)</f>
        <v>96.063787006443</v>
      </c>
      <c r="H14" s="7" t="n">
        <f aca="false">F14 - G14</f>
        <v>-3.2127679069945</v>
      </c>
    </row>
    <row r="15" customFormat="false" ht="14.25" hidden="false" customHeight="false" outlineLevel="0" collapsed="false">
      <c r="A15" s="2" t="s">
        <v>24</v>
      </c>
      <c r="B15" s="3" t="s">
        <v>9</v>
      </c>
      <c r="C15" s="4" t="n">
        <v>273.300497241062</v>
      </c>
      <c r="D15" s="4" t="n">
        <v>13.3353482263507</v>
      </c>
      <c r="E15" s="5" t="n">
        <v>39.2783013120747</v>
      </c>
      <c r="F15" s="6" t="n">
        <v>73.5036460608102</v>
      </c>
      <c r="G15" s="7" t="n">
        <f aca="false">Regresion!$B$4 + (Regresion!$B$5 * C15) + (Regresion!$B$6 * D15) + (Regresion!$B$7 * E15)</f>
        <v>73.5745885514146</v>
      </c>
      <c r="H15" s="7" t="n">
        <f aca="false">F15 - G15</f>
        <v>-0.0709424906044234</v>
      </c>
    </row>
    <row r="16" customFormat="false" ht="14.25" hidden="false" customHeight="false" outlineLevel="0" collapsed="false">
      <c r="A16" s="2" t="s">
        <v>25</v>
      </c>
      <c r="B16" s="3" t="s">
        <v>12</v>
      </c>
      <c r="C16" s="4" t="n">
        <v>235.462959336805</v>
      </c>
      <c r="D16" s="4" t="n">
        <v>25.47732174182</v>
      </c>
      <c r="E16" s="5" t="n">
        <v>38.4162046646143</v>
      </c>
      <c r="F16" s="6" t="n">
        <v>72.5235097981739</v>
      </c>
      <c r="G16" s="7" t="n">
        <f aca="false">Regresion!$B$4 + (Regresion!$B$5 * C16) + (Regresion!$B$6 * D16) + (Regresion!$B$7 * E16)</f>
        <v>63.6427930921101</v>
      </c>
      <c r="H16" s="7" t="n">
        <f aca="false">F16 - G16</f>
        <v>8.88071670606382</v>
      </c>
    </row>
    <row r="17" customFormat="false" ht="14.25" hidden="false" customHeight="false" outlineLevel="0" collapsed="false">
      <c r="A17" s="2" t="s">
        <v>26</v>
      </c>
      <c r="B17" s="3" t="s">
        <v>17</v>
      </c>
      <c r="C17" s="4" t="n">
        <v>237.421592218258</v>
      </c>
      <c r="D17" s="4" t="n">
        <v>45.9921022285044</v>
      </c>
      <c r="E17" s="5" t="n">
        <v>39.9451111342584</v>
      </c>
      <c r="F17" s="6" t="n">
        <v>57.8101206747001</v>
      </c>
      <c r="G17" s="7" t="n">
        <f aca="false">Regresion!$B$4 + (Regresion!$B$5 * C17) + (Regresion!$B$6 * D17) + (Regresion!$B$7 * E17)</f>
        <v>67.7336460933465</v>
      </c>
      <c r="H17" s="7" t="n">
        <f aca="false">F17 - G17</f>
        <v>-9.92352541864636</v>
      </c>
    </row>
    <row r="18" customFormat="false" ht="14.25" hidden="false" customHeight="false" outlineLevel="0" collapsed="false">
      <c r="A18" s="2" t="s">
        <v>27</v>
      </c>
      <c r="B18" s="3" t="s">
        <v>12</v>
      </c>
      <c r="C18" s="4" t="n">
        <v>387.260381269827</v>
      </c>
      <c r="D18" s="4" t="n">
        <v>86.2555208900168</v>
      </c>
      <c r="E18" s="5" t="n">
        <v>38.6642398510785</v>
      </c>
      <c r="F18" s="6" t="n">
        <v>62.2367585437256</v>
      </c>
      <c r="G18" s="7" t="n">
        <f aca="false">Regresion!$B$4 + (Regresion!$B$5 * C18) + (Regresion!$B$6 * D18) + (Regresion!$B$7 * E18)</f>
        <v>54.1814335221012</v>
      </c>
      <c r="H18" s="7" t="n">
        <f aca="false">F18 - G18</f>
        <v>8.0553250216244</v>
      </c>
    </row>
    <row r="19" customFormat="false" ht="14.25" hidden="false" customHeight="false" outlineLevel="0" collapsed="false">
      <c r="A19" s="2" t="s">
        <v>28</v>
      </c>
      <c r="B19" s="3" t="s">
        <v>12</v>
      </c>
      <c r="C19" s="4" t="n">
        <v>660.697975223975</v>
      </c>
      <c r="D19" s="4" t="n">
        <v>90.6552500754034</v>
      </c>
      <c r="E19" s="5" t="n">
        <v>37.9205163026512</v>
      </c>
      <c r="F19" s="6" t="n">
        <v>58.8190130919819</v>
      </c>
      <c r="G19" s="7" t="n">
        <f aca="false">Regresion!$B$4 + (Regresion!$B$5 * C19) + (Regresion!$B$6 * D19) + (Regresion!$B$7 * E19)</f>
        <v>57.8692848854514</v>
      </c>
      <c r="H19" s="7" t="n">
        <f aca="false">F19 - G19</f>
        <v>0.949728206530523</v>
      </c>
    </row>
    <row r="20" customFormat="false" ht="14.25" hidden="false" customHeight="false" outlineLevel="0" collapsed="false">
      <c r="A20" s="2" t="s">
        <v>29</v>
      </c>
      <c r="B20" s="3" t="s">
        <v>9</v>
      </c>
      <c r="C20" s="4" t="n">
        <v>545.611823116224</v>
      </c>
      <c r="D20" s="4" t="n">
        <v>2.71606944471264</v>
      </c>
      <c r="E20" s="5" t="n">
        <v>39.7218696581308</v>
      </c>
      <c r="F20" s="6" t="n">
        <v>81.1351725005921</v>
      </c>
      <c r="G20" s="7" t="n">
        <f aca="false">Regresion!$B$4 + (Regresion!$B$5 * C20) + (Regresion!$B$6 * D20) + (Regresion!$B$7 * E20)</f>
        <v>88.6358459038231</v>
      </c>
      <c r="H20" s="7" t="n">
        <f aca="false">F20 - G20</f>
        <v>-7.50067340323101</v>
      </c>
    </row>
    <row r="21" customFormat="false" ht="14.25" hidden="false" customHeight="false" outlineLevel="0" collapsed="false">
      <c r="A21" s="2" t="s">
        <v>30</v>
      </c>
      <c r="B21" s="3" t="s">
        <v>12</v>
      </c>
      <c r="C21" s="4" t="n">
        <v>371.124133845572</v>
      </c>
      <c r="D21" s="4" t="n">
        <v>54.6069721654893</v>
      </c>
      <c r="E21" s="5" t="n">
        <v>38.3636209702804</v>
      </c>
      <c r="F21" s="6" t="n">
        <v>63.2852454925507</v>
      </c>
      <c r="G21" s="7" t="n">
        <f aca="false">Regresion!$B$4 + (Regresion!$B$5 * C21) + (Regresion!$B$6 * D21) + (Regresion!$B$7 * E21)</f>
        <v>60.2254604585038</v>
      </c>
      <c r="H21" s="7" t="n">
        <f aca="false">F21 - G21</f>
        <v>3.05978503404697</v>
      </c>
    </row>
    <row r="22" customFormat="false" ht="14.25" hidden="false" customHeight="false" outlineLevel="0" collapsed="false">
      <c r="A22" s="2" t="s">
        <v>31</v>
      </c>
      <c r="B22" s="3" t="s">
        <v>17</v>
      </c>
      <c r="C22" s="4" t="n">
        <v>768.697589455751</v>
      </c>
      <c r="D22" s="4" t="n">
        <v>44.9933333243242</v>
      </c>
      <c r="E22" s="5" t="n">
        <v>40.5773298946235</v>
      </c>
      <c r="F22" s="6" t="n">
        <v>91.0892837988003</v>
      </c>
      <c r="G22" s="7" t="n">
        <f aca="false">Regresion!$B$4 + (Regresion!$B$5 * C22) + (Regresion!$B$6 * D22) + (Regresion!$B$7 * E22)</f>
        <v>90.3856382847306</v>
      </c>
      <c r="H22" s="7" t="n">
        <f aca="false">F22 - G22</f>
        <v>0.703645514069706</v>
      </c>
    </row>
    <row r="23" customFormat="false" ht="14.25" hidden="false" customHeight="false" outlineLevel="0" collapsed="false">
      <c r="A23" s="2" t="s">
        <v>32</v>
      </c>
      <c r="B23" s="3" t="s">
        <v>17</v>
      </c>
      <c r="C23" s="4" t="n">
        <v>182.972387208532</v>
      </c>
      <c r="D23" s="4" t="n">
        <v>24.8771044784852</v>
      </c>
      <c r="E23" s="5" t="n">
        <v>40.6163928733075</v>
      </c>
      <c r="F23" s="6" t="n">
        <v>70.6241565945608</v>
      </c>
      <c r="G23" s="7" t="n">
        <f aca="false">Regresion!$B$4 + (Regresion!$B$5 * C23) + (Regresion!$B$6 * D23) + (Regresion!$B$7 * E23)</f>
        <v>75.6759374297294</v>
      </c>
      <c r="H23" s="7" t="n">
        <f aca="false">F23 - G23</f>
        <v>-5.05178083516857</v>
      </c>
    </row>
    <row r="24" customFormat="false" ht="14.25" hidden="false" customHeight="false" outlineLevel="0" collapsed="false">
      <c r="A24" s="2" t="s">
        <v>33</v>
      </c>
      <c r="B24" s="3" t="s">
        <v>17</v>
      </c>
      <c r="C24" s="4" t="n">
        <v>372.259364183671</v>
      </c>
      <c r="D24" s="4" t="n">
        <v>14.3461328353693</v>
      </c>
      <c r="E24" s="5" t="n">
        <v>40.5031067316393</v>
      </c>
      <c r="F24" s="6" t="n">
        <v>83.5981931741931</v>
      </c>
      <c r="G24" s="7" t="n">
        <f aca="false">Regresion!$B$4 + (Regresion!$B$5 * C24) + (Regresion!$B$6 * D24) + (Regresion!$B$7 * E24)</f>
        <v>84.3642450869873</v>
      </c>
      <c r="H24" s="7" t="n">
        <f aca="false">F24 - G24</f>
        <v>-0.766051912794154</v>
      </c>
    </row>
    <row r="25" customFormat="false" ht="14.25" hidden="false" customHeight="false" outlineLevel="0" collapsed="false">
      <c r="A25" s="2" t="s">
        <v>34</v>
      </c>
      <c r="B25" s="3" t="s">
        <v>9</v>
      </c>
      <c r="C25" s="4" t="n">
        <v>464.288685684178</v>
      </c>
      <c r="D25" s="4" t="n">
        <v>36.7743626545737</v>
      </c>
      <c r="E25" s="5" t="n">
        <v>38.9234602307408</v>
      </c>
      <c r="F25" s="6" t="n">
        <v>68.8538260683922</v>
      </c>
      <c r="G25" s="7" t="n">
        <f aca="false">Regresion!$B$4 + (Regresion!$B$5 * C25) + (Regresion!$B$6 * D25) + (Regresion!$B$7 * E25)</f>
        <v>71.7211107270215</v>
      </c>
      <c r="H25" s="7" t="n">
        <f aca="false">F25 - G25</f>
        <v>-2.86728465862926</v>
      </c>
    </row>
    <row r="26" customFormat="false" ht="14.25" hidden="false" customHeight="false" outlineLevel="0" collapsed="false">
      <c r="A26" s="2" t="s">
        <v>35</v>
      </c>
      <c r="B26" s="3" t="s">
        <v>12</v>
      </c>
      <c r="C26" s="4" t="n">
        <v>575.526780429125</v>
      </c>
      <c r="D26" s="4" t="n">
        <v>99.1196995029895</v>
      </c>
      <c r="E26" s="5" t="n">
        <v>37.8948241879337</v>
      </c>
      <c r="F26" s="6" t="n">
        <v>54.2203630386499</v>
      </c>
      <c r="G26" s="7" t="n">
        <f aca="false">Regresion!$B$4 + (Regresion!$B$5 * C26) + (Regresion!$B$6 * D26) + (Regresion!$B$7 * E26)</f>
        <v>52.4848737388541</v>
      </c>
      <c r="H26" s="7" t="n">
        <f aca="false">F26 - G26</f>
        <v>1.73548929979587</v>
      </c>
    </row>
    <row r="27" customFormat="false" ht="14.25" hidden="false" customHeight="false" outlineLevel="0" collapsed="false">
      <c r="A27" s="2" t="s">
        <v>36</v>
      </c>
      <c r="B27" s="3" t="s">
        <v>17</v>
      </c>
      <c r="C27" s="4" t="n">
        <v>983.618192127337</v>
      </c>
      <c r="D27" s="4" t="n">
        <v>35.2899019981378</v>
      </c>
      <c r="E27" s="5" t="n">
        <v>40.5421238315044</v>
      </c>
      <c r="F27" s="6" t="n">
        <v>103.873393116217</v>
      </c>
      <c r="G27" s="7" t="n">
        <f aca="false">Regresion!$B$4 + (Regresion!$B$5 * C27) + (Regresion!$B$6 * D27) + (Regresion!$B$7 * E27)</f>
        <v>100.228501992198</v>
      </c>
      <c r="H27" s="7" t="n">
        <f aca="false">F27 - G27</f>
        <v>3.64489112401904</v>
      </c>
    </row>
    <row r="28" customFormat="false" ht="14.25" hidden="false" customHeight="false" outlineLevel="0" collapsed="false">
      <c r="A28" s="2" t="s">
        <v>37</v>
      </c>
      <c r="B28" s="3" t="s">
        <v>9</v>
      </c>
      <c r="C28" s="4" t="n">
        <v>257.595489876366</v>
      </c>
      <c r="D28" s="4" t="n">
        <v>55.4354340395667</v>
      </c>
      <c r="E28" s="5" t="n">
        <v>39.0917340301202</v>
      </c>
      <c r="F28" s="6" t="n">
        <v>70.7201402986728</v>
      </c>
      <c r="G28" s="7" t="n">
        <f aca="false">Regresion!$B$4 + (Regresion!$B$5 * C28) + (Regresion!$B$6 * D28) + (Regresion!$B$7 * E28)</f>
        <v>60.5933530556989</v>
      </c>
      <c r="H28" s="7" t="n">
        <f aca="false">F28 - G28</f>
        <v>10.1267872429739</v>
      </c>
    </row>
    <row r="29" customFormat="false" ht="14.25" hidden="false" customHeight="false" outlineLevel="0" collapsed="false">
      <c r="A29" s="2" t="s">
        <v>38</v>
      </c>
      <c r="B29" s="3" t="s">
        <v>17</v>
      </c>
      <c r="C29" s="4" t="n">
        <v>647.650703632878</v>
      </c>
      <c r="D29" s="4" t="n">
        <v>74.4109527662033</v>
      </c>
      <c r="E29" s="5" t="n">
        <v>40.6532989752266</v>
      </c>
      <c r="F29" s="6" t="n">
        <v>70.556265455944</v>
      </c>
      <c r="G29" s="7" t="n">
        <f aca="false">Regresion!$B$4 + (Regresion!$B$5 * C29) + (Regresion!$B$6 * D29) + (Regresion!$B$7 * E29)</f>
        <v>78.7768575566053</v>
      </c>
      <c r="H29" s="7" t="n">
        <f aca="false">F29 - G29</f>
        <v>-8.22059210066129</v>
      </c>
    </row>
    <row r="30" customFormat="false" ht="14.25" hidden="false" customHeight="false" outlineLevel="0" collapsed="false">
      <c r="A30" s="2" t="s">
        <v>39</v>
      </c>
      <c r="B30" s="3" t="s">
        <v>17</v>
      </c>
      <c r="C30" s="4" t="n">
        <v>744.594065388933</v>
      </c>
      <c r="D30" s="4" t="n">
        <v>39.4538490450673</v>
      </c>
      <c r="E30" s="5" t="n">
        <v>40.6444979335588</v>
      </c>
      <c r="F30" s="6" t="n">
        <v>104.605461862646</v>
      </c>
      <c r="G30" s="7" t="n">
        <f aca="false">Regresion!$B$4 + (Regresion!$B$5 * C30) + (Regresion!$B$6 * D30) + (Regresion!$B$7 * E30)</f>
        <v>91.4501988625856</v>
      </c>
      <c r="H30" s="7" t="n">
        <f aca="false">F30 - G30</f>
        <v>13.1552630000605</v>
      </c>
    </row>
    <row r="31" customFormat="false" ht="14.25" hidden="false" customHeight="false" outlineLevel="0" collapsed="false">
      <c r="A31" s="2" t="s">
        <v>40</v>
      </c>
      <c r="B31" s="3" t="s">
        <v>17</v>
      </c>
      <c r="C31" s="4" t="n">
        <v>67.5985117727972</v>
      </c>
      <c r="D31" s="4" t="n">
        <v>102.093554520259</v>
      </c>
      <c r="E31" s="5" t="n">
        <v>40.3237274208553</v>
      </c>
      <c r="F31" s="6" t="n">
        <v>36.6376900393277</v>
      </c>
      <c r="G31" s="7" t="n">
        <f aca="false">Regresion!$B$4 + (Regresion!$B$5 * C31) + (Regresion!$B$6 * D31) + (Regresion!$B$7 * E31)</f>
        <v>49.1688662468568</v>
      </c>
      <c r="H31" s="7" t="n">
        <f aca="false">F31 - G31</f>
        <v>-12.5311762075291</v>
      </c>
    </row>
    <row r="32" customFormat="false" ht="14.25" hidden="false" customHeight="false" outlineLevel="0" collapsed="false">
      <c r="A32" s="2" t="s">
        <v>41</v>
      </c>
      <c r="B32" s="3" t="s">
        <v>9</v>
      </c>
      <c r="C32" s="4" t="n">
        <v>763.355616357784</v>
      </c>
      <c r="D32" s="4" t="n">
        <v>101.132071379038</v>
      </c>
      <c r="E32" s="5" t="n">
        <v>38.7039017870018</v>
      </c>
      <c r="F32" s="6" t="n">
        <v>63.3860300106305</v>
      </c>
      <c r="G32" s="7" t="n">
        <f aca="false">Regresion!$B$4 + (Regresion!$B$5 * C32) + (Regresion!$B$6 * D32) + (Regresion!$B$7 * E32)</f>
        <v>63.5047008670164</v>
      </c>
      <c r="H32" s="7" t="n">
        <f aca="false">F32 - G32</f>
        <v>-0.118670856385947</v>
      </c>
    </row>
    <row r="33" customFormat="false" ht="14.25" hidden="false" customHeight="false" outlineLevel="0" collapsed="false">
      <c r="A33" s="2" t="s">
        <v>42</v>
      </c>
      <c r="B33" s="3" t="s">
        <v>9</v>
      </c>
      <c r="C33" s="4" t="n">
        <v>221.449913372242</v>
      </c>
      <c r="D33" s="4" t="n">
        <v>27.9335764700125</v>
      </c>
      <c r="E33" s="5" t="n">
        <v>38.9667834129456</v>
      </c>
      <c r="F33" s="6" t="n">
        <v>69.1385557645883</v>
      </c>
      <c r="G33" s="7" t="n">
        <f aca="false">Regresion!$B$4 + (Regresion!$B$5 * C33) + (Regresion!$B$6 * D33) + (Regresion!$B$7 * E33)</f>
        <v>65.9254891123775</v>
      </c>
      <c r="H33" s="7" t="n">
        <f aca="false">F33 - G33</f>
        <v>3.21306665221081</v>
      </c>
    </row>
    <row r="34" customFormat="false" ht="14.25" hidden="false" customHeight="false" outlineLevel="0" collapsed="false">
      <c r="A34" s="2" t="s">
        <v>43</v>
      </c>
      <c r="B34" s="3" t="s">
        <v>17</v>
      </c>
      <c r="C34" s="4" t="n">
        <v>90.6639753017466</v>
      </c>
      <c r="D34" s="4" t="n">
        <v>53.2165961069157</v>
      </c>
      <c r="E34" s="5" t="n">
        <v>40.3182963473989</v>
      </c>
      <c r="F34" s="6" t="n">
        <v>64.2177303376934</v>
      </c>
      <c r="G34" s="7" t="n">
        <f aca="false">Regresion!$B$4 + (Regresion!$B$5 * C34) + (Regresion!$B$6 * D34) + (Regresion!$B$7 * E34)</f>
        <v>63.0254691733385</v>
      </c>
      <c r="H34" s="7" t="n">
        <f aca="false">F34 - G34</f>
        <v>1.19226116435487</v>
      </c>
    </row>
    <row r="35" customFormat="false" ht="14.25" hidden="false" customHeight="false" outlineLevel="0" collapsed="false">
      <c r="A35" s="2" t="s">
        <v>44</v>
      </c>
      <c r="B35" s="3" t="s">
        <v>9</v>
      </c>
      <c r="C35" s="4" t="n">
        <v>1186.61806619413</v>
      </c>
      <c r="D35" s="4" t="n">
        <v>32.9904659111273</v>
      </c>
      <c r="E35" s="5" t="n">
        <v>38.7690738149532</v>
      </c>
      <c r="F35" s="6" t="n">
        <v>92.6993046317556</v>
      </c>
      <c r="G35" s="7" t="n">
        <f aca="false">Regresion!$B$4 + (Regresion!$B$5 * C35) + (Regresion!$B$6 * D35) + (Regresion!$B$7 * E35)</f>
        <v>96.8572700633137</v>
      </c>
      <c r="H35" s="7" t="n">
        <f aca="false">F35 - G35</f>
        <v>-4.1579654315581</v>
      </c>
    </row>
    <row r="36" customFormat="false" ht="14.25" hidden="false" customHeight="false" outlineLevel="0" collapsed="false">
      <c r="A36" s="2" t="s">
        <v>45</v>
      </c>
      <c r="B36" s="3" t="s">
        <v>12</v>
      </c>
      <c r="C36" s="4" t="n">
        <v>1207.38372101245</v>
      </c>
      <c r="D36" s="4" t="n">
        <v>31.3385709208792</v>
      </c>
      <c r="E36" s="5" t="n">
        <v>38.3415289653897</v>
      </c>
      <c r="F36" s="6" t="n">
        <v>94.0000122595347</v>
      </c>
      <c r="G36" s="7" t="n">
        <f aca="false">Regresion!$B$4 + (Regresion!$B$5 * C36) + (Regresion!$B$6 * D36) + (Regresion!$B$7 * E36)</f>
        <v>95.3594884391063</v>
      </c>
      <c r="H36" s="7" t="n">
        <f aca="false">F36 - G36</f>
        <v>-1.35947617957169</v>
      </c>
    </row>
    <row r="37" customFormat="false" ht="14.25" hidden="false" customHeight="false" outlineLevel="0" collapsed="false">
      <c r="A37" s="2" t="s">
        <v>46</v>
      </c>
      <c r="B37" s="3" t="s">
        <v>9</v>
      </c>
      <c r="C37" s="4" t="n">
        <v>1012.41271166441</v>
      </c>
      <c r="D37" s="4" t="n">
        <v>5.79935557751688</v>
      </c>
      <c r="E37" s="5" t="n">
        <v>39.4647236611292</v>
      </c>
      <c r="F37" s="6" t="n">
        <v>98.3934470709765</v>
      </c>
      <c r="G37" s="7" t="n">
        <f aca="false">Regresion!$B$4 + (Regresion!$B$5 * C37) + (Regresion!$B$6 * D37) + (Regresion!$B$7 * E37)</f>
        <v>102.419763316265</v>
      </c>
      <c r="H37" s="7" t="n">
        <f aca="false">F37 - G37</f>
        <v>-4.02631624528834</v>
      </c>
    </row>
    <row r="38" customFormat="false" ht="14.25" hidden="false" customHeight="false" outlineLevel="0" collapsed="false">
      <c r="A38" s="2" t="s">
        <v>47</v>
      </c>
      <c r="B38" s="3" t="s">
        <v>17</v>
      </c>
      <c r="C38" s="4" t="n">
        <v>387.72107377498</v>
      </c>
      <c r="D38" s="4" t="n">
        <v>64.7851263999294</v>
      </c>
      <c r="E38" s="5" t="n">
        <v>40.5648488450663</v>
      </c>
      <c r="F38" s="6" t="n">
        <v>67.5424961309271</v>
      </c>
      <c r="G38" s="7" t="n">
        <f aca="false">Regresion!$B$4 + (Regresion!$B$5 * C38) + (Regresion!$B$6 * D38) + (Regresion!$B$7 * E38)</f>
        <v>71.77773986454</v>
      </c>
      <c r="H38" s="7" t="n">
        <f aca="false">F38 - G38</f>
        <v>-4.23524373361296</v>
      </c>
    </row>
    <row r="39" customFormat="false" ht="14.25" hidden="false" customHeight="false" outlineLevel="0" collapsed="false">
      <c r="A39" s="2" t="s">
        <v>48</v>
      </c>
      <c r="B39" s="3" t="s">
        <v>17</v>
      </c>
      <c r="C39" s="4" t="n">
        <v>131.113421367916</v>
      </c>
      <c r="D39" s="4" t="n">
        <v>53.7759393925727</v>
      </c>
      <c r="E39" s="5" t="n">
        <v>39.8684864103574</v>
      </c>
      <c r="F39" s="6" t="n">
        <v>66.5224668297266</v>
      </c>
      <c r="G39" s="7" t="n">
        <f aca="false">Regresion!$B$4 + (Regresion!$B$5 * C39) + (Regresion!$B$6 * D39) + (Regresion!$B$7 * E39)</f>
        <v>61.4804639670402</v>
      </c>
      <c r="H39" s="7" t="n">
        <f aca="false">F39 - G39</f>
        <v>5.04200286268639</v>
      </c>
    </row>
    <row r="40" customFormat="false" ht="14.25" hidden="false" customHeight="false" outlineLevel="0" collapsed="false">
      <c r="A40" s="2" t="s">
        <v>49</v>
      </c>
      <c r="B40" s="3" t="s">
        <v>9</v>
      </c>
      <c r="C40" s="4" t="n">
        <v>858.448952875075</v>
      </c>
      <c r="D40" s="4" t="n">
        <v>7.3023113787489</v>
      </c>
      <c r="E40" s="5" t="n">
        <v>39.5031773932592</v>
      </c>
      <c r="F40" s="6" t="n">
        <v>98.3648710546321</v>
      </c>
      <c r="G40" s="7" t="n">
        <f aca="false">Regresion!$B$4 + (Regresion!$B$5 * C40) + (Regresion!$B$6 * D40) + (Regresion!$B$7 * E40)</f>
        <v>96.910036643376</v>
      </c>
      <c r="H40" s="7" t="n">
        <f aca="false">F40 - G40</f>
        <v>1.45483441125603</v>
      </c>
    </row>
    <row r="41" customFormat="false" ht="14.25" hidden="false" customHeight="false" outlineLevel="0" collapsed="false">
      <c r="A41" s="2" t="s">
        <v>50</v>
      </c>
      <c r="B41" s="3" t="s">
        <v>12</v>
      </c>
      <c r="C41" s="4" t="n">
        <v>555.789092237106</v>
      </c>
      <c r="D41" s="4" t="n">
        <v>30.700585816371</v>
      </c>
      <c r="E41" s="5" t="n">
        <v>38.1318118319352</v>
      </c>
      <c r="F41" s="6" t="n">
        <v>66.8932847967424</v>
      </c>
      <c r="G41" s="7" t="n">
        <f aca="false">Regresion!$B$4 + (Regresion!$B$5 * C41) + (Regresion!$B$6 * D41) + (Regresion!$B$7 * E41)</f>
        <v>71.5974948862858</v>
      </c>
      <c r="H41" s="7" t="n">
        <f aca="false">F41 - G41</f>
        <v>-4.70421008954345</v>
      </c>
    </row>
    <row r="42" customFormat="false" ht="14.25" hidden="false" customHeight="false" outlineLevel="0" collapsed="false">
      <c r="A42" s="2" t="s">
        <v>51</v>
      </c>
      <c r="B42" s="3" t="s">
        <v>9</v>
      </c>
      <c r="C42" s="4" t="n">
        <v>161.327411207526</v>
      </c>
      <c r="D42" s="4" t="n">
        <v>95.5513862545653</v>
      </c>
      <c r="E42" s="5" t="n">
        <v>39.6335209574276</v>
      </c>
      <c r="F42" s="6" t="n">
        <v>56.0106966872629</v>
      </c>
      <c r="G42" s="7" t="n">
        <f aca="false">Regresion!$B$4 + (Regresion!$B$5 * C42) + (Regresion!$B$6 * D42) + (Regresion!$B$7 * E42)</f>
        <v>49.8795061355801</v>
      </c>
      <c r="H42" s="7" t="n">
        <f aca="false">F42 - G42</f>
        <v>6.13119055168286</v>
      </c>
    </row>
    <row r="43" customFormat="false" ht="14.25" hidden="false" customHeight="false" outlineLevel="0" collapsed="false">
      <c r="A43" s="2" t="s">
        <v>52</v>
      </c>
      <c r="B43" s="3" t="s">
        <v>17</v>
      </c>
      <c r="C43" s="4" t="n">
        <v>624.019368537975</v>
      </c>
      <c r="D43" s="4" t="n">
        <v>26.6748747386982</v>
      </c>
      <c r="E43" s="5" t="n">
        <v>40.7211561653024</v>
      </c>
      <c r="F43" s="6" t="n">
        <v>92.1737510186227</v>
      </c>
      <c r="G43" s="7" t="n">
        <f aca="false">Regresion!$B$4 + (Regresion!$B$5 * C43) + (Regresion!$B$6 * D43) + (Regresion!$B$7 * E43)</f>
        <v>91.1625100805014</v>
      </c>
      <c r="H43" s="7" t="n">
        <f aca="false">F43 - G43</f>
        <v>1.01124093812128</v>
      </c>
    </row>
    <row r="44" customFormat="false" ht="14.25" hidden="false" customHeight="false" outlineLevel="0" collapsed="false">
      <c r="A44" s="2" t="s">
        <v>53</v>
      </c>
      <c r="B44" s="3" t="s">
        <v>12</v>
      </c>
      <c r="C44" s="4" t="n">
        <v>52.6417661828708</v>
      </c>
      <c r="D44" s="4" t="n">
        <v>16.924171825396</v>
      </c>
      <c r="E44" s="5" t="n">
        <v>38.2562436441859</v>
      </c>
      <c r="F44" s="6" t="n">
        <v>63.222434611006</v>
      </c>
      <c r="G44" s="7" t="n">
        <f aca="false">Regresion!$B$4 + (Regresion!$B$5 * C44) + (Regresion!$B$6 * D44) + (Regresion!$B$7 * E44)</f>
        <v>58.5889731746669</v>
      </c>
      <c r="H44" s="7" t="n">
        <f aca="false">F44 - G44</f>
        <v>4.63346143633918</v>
      </c>
    </row>
    <row r="45" customFormat="false" ht="14.25" hidden="false" customHeight="false" outlineLevel="0" collapsed="false">
      <c r="A45" s="2" t="s">
        <v>54</v>
      </c>
      <c r="B45" s="3" t="s">
        <v>9</v>
      </c>
      <c r="C45" s="4" t="n">
        <v>1137.55729857769</v>
      </c>
      <c r="D45" s="4" t="n">
        <v>52.413634308589</v>
      </c>
      <c r="E45" s="5" t="n">
        <v>39.3531559918548</v>
      </c>
      <c r="F45" s="6" t="n">
        <v>97.7019421642457</v>
      </c>
      <c r="G45" s="7" t="n">
        <f aca="false">Regresion!$B$4 + (Regresion!$B$5 * C45) + (Regresion!$B$6 * D45) + (Regresion!$B$7 * E45)</f>
        <v>93.5876309052697</v>
      </c>
      <c r="H45" s="7" t="n">
        <f aca="false">F45 - G45</f>
        <v>4.11431125897605</v>
      </c>
    </row>
    <row r="46" customFormat="false" ht="14.25" hidden="false" customHeight="false" outlineLevel="0" collapsed="false">
      <c r="A46" s="2" t="s">
        <v>55</v>
      </c>
      <c r="B46" s="3" t="s">
        <v>17</v>
      </c>
      <c r="C46" s="4" t="n">
        <v>330.887177184021</v>
      </c>
      <c r="D46" s="4" t="n">
        <v>103.521996773392</v>
      </c>
      <c r="E46" s="5" t="n">
        <v>40.3943819085911</v>
      </c>
      <c r="F46" s="6" t="n">
        <v>53.2395694360675</v>
      </c>
      <c r="G46" s="7" t="n">
        <f aca="false">Regresion!$B$4 + (Regresion!$B$5 * C46) + (Regresion!$B$6 * D46) + (Regresion!$B$7 * E46)</f>
        <v>58.3691506415816</v>
      </c>
      <c r="H46" s="7" t="n">
        <f aca="false">F46 - G46</f>
        <v>-5.12958120551403</v>
      </c>
    </row>
    <row r="47" customFormat="false" ht="14.25" hidden="false" customHeight="false" outlineLevel="0" collapsed="false">
      <c r="A47" s="2" t="s">
        <v>56</v>
      </c>
      <c r="B47" s="3" t="s">
        <v>17</v>
      </c>
      <c r="C47" s="4" t="n">
        <v>831.527632598938</v>
      </c>
      <c r="D47" s="4" t="n">
        <v>26.9316929656845</v>
      </c>
      <c r="E47" s="5" t="n">
        <v>39.9982289914872</v>
      </c>
      <c r="F47" s="6" t="n">
        <v>89.4623015851313</v>
      </c>
      <c r="G47" s="7" t="n">
        <f aca="false">Regresion!$B$4 + (Regresion!$B$5 * C47) + (Regresion!$B$6 * D47) + (Regresion!$B$7 * E47)</f>
        <v>93.7998169915841</v>
      </c>
      <c r="H47" s="7" t="n">
        <f aca="false">F47 - G47</f>
        <v>-4.33751540645277</v>
      </c>
    </row>
    <row r="48" customFormat="false" ht="14.25" hidden="false" customHeight="false" outlineLevel="0" collapsed="false">
      <c r="A48" s="2" t="s">
        <v>57</v>
      </c>
      <c r="B48" s="3" t="s">
        <v>17</v>
      </c>
      <c r="C48" s="4" t="n">
        <v>396.52173435087</v>
      </c>
      <c r="D48" s="4" t="n">
        <v>71.2299613828055</v>
      </c>
      <c r="E48" s="5" t="n">
        <v>39.8713456488863</v>
      </c>
      <c r="F48" s="6" t="n">
        <v>70.8023267311226</v>
      </c>
      <c r="G48" s="7" t="n">
        <f aca="false">Regresion!$B$4 + (Regresion!$B$5 * C48) + (Regresion!$B$6 * D48) + (Regresion!$B$7 * E48)</f>
        <v>66.0406502288127</v>
      </c>
      <c r="H48" s="7" t="n">
        <f aca="false">F48 - G48</f>
        <v>4.76167650230988</v>
      </c>
    </row>
    <row r="49" customFormat="false" ht="14.25" hidden="false" customHeight="false" outlineLevel="0" collapsed="false">
      <c r="A49" s="2" t="s">
        <v>58</v>
      </c>
      <c r="B49" s="3" t="s">
        <v>17</v>
      </c>
      <c r="C49" s="4" t="n">
        <v>654.884346260485</v>
      </c>
      <c r="D49" s="4" t="n">
        <v>80.4468203788579</v>
      </c>
      <c r="E49" s="5" t="n">
        <v>39.8872038435626</v>
      </c>
      <c r="F49" s="6" t="n">
        <v>76.7578796938939</v>
      </c>
      <c r="G49" s="7" t="n">
        <f aca="false">Regresion!$B$4 + (Regresion!$B$5 * C49) + (Regresion!$B$6 * D49) + (Regresion!$B$7 * E49)</f>
        <v>72.6430212858157</v>
      </c>
      <c r="H49" s="7" t="n">
        <f aca="false">F49 - G49</f>
        <v>4.11485840807822</v>
      </c>
    </row>
    <row r="50" customFormat="false" ht="14.25" hidden="false" customHeight="false" outlineLevel="0" collapsed="false">
      <c r="A50" s="2" t="s">
        <v>59</v>
      </c>
      <c r="B50" s="3" t="s">
        <v>9</v>
      </c>
      <c r="C50" s="4" t="n">
        <v>687.920746385667</v>
      </c>
      <c r="D50" s="4" t="n">
        <v>26.4766670312172</v>
      </c>
      <c r="E50" s="5" t="n">
        <v>38.8925243385373</v>
      </c>
      <c r="F50" s="6" t="n">
        <v>81.4771729863163</v>
      </c>
      <c r="G50" s="7" t="n">
        <f aca="false">Regresion!$B$4 + (Regresion!$B$5 * C50) + (Regresion!$B$6 * D50) + (Regresion!$B$7 * E50)</f>
        <v>82.0522170121519</v>
      </c>
      <c r="H50" s="7" t="n">
        <f aca="false">F50 - G50</f>
        <v>-0.575044025835638</v>
      </c>
    </row>
    <row r="51" customFormat="false" ht="14.25" hidden="false" customHeight="false" outlineLevel="0" collapsed="false">
      <c r="A51" s="2" t="s">
        <v>60</v>
      </c>
      <c r="B51" s="3" t="s">
        <v>9</v>
      </c>
      <c r="C51" s="4" t="n">
        <v>239.219524851654</v>
      </c>
      <c r="D51" s="4" t="n">
        <v>77.0062839070215</v>
      </c>
      <c r="E51" s="5" t="n">
        <v>38.701416348367</v>
      </c>
      <c r="F51" s="6" t="n">
        <v>52.7885519749255</v>
      </c>
      <c r="G51" s="7" t="n">
        <f aca="false">Regresion!$B$4 + (Regresion!$B$5 * C51) + (Regresion!$B$6 * D51) + (Regresion!$B$7 * E51)</f>
        <v>51.7489141945266</v>
      </c>
      <c r="H51" s="7" t="n">
        <f aca="false">F51 - G51</f>
        <v>1.03963778039891</v>
      </c>
    </row>
    <row r="52" customFormat="false" ht="14.25" hidden="false" customHeight="false" outlineLevel="0" collapsed="false">
      <c r="A52" s="2" t="s">
        <v>61</v>
      </c>
      <c r="B52" s="3" t="s">
        <v>17</v>
      </c>
      <c r="C52" s="4" t="n">
        <v>1212.28493842805</v>
      </c>
      <c r="D52" s="4" t="n">
        <v>39.8816626700831</v>
      </c>
      <c r="E52" s="5" t="n">
        <v>40.1971473508877</v>
      </c>
      <c r="F52" s="6" t="n">
        <v>112.698177844206</v>
      </c>
      <c r="G52" s="7" t="n">
        <f aca="false">Regresion!$B$4 + (Regresion!$B$5 * C52) + (Regresion!$B$6 * D52) + (Regresion!$B$7 * E52)</f>
        <v>104.792227495862</v>
      </c>
      <c r="H52" s="7" t="n">
        <f aca="false">F52 - G52</f>
        <v>7.90595034834371</v>
      </c>
    </row>
    <row r="53" customFormat="false" ht="14.25" hidden="false" customHeight="false" outlineLevel="0" collapsed="false">
      <c r="A53" s="2" t="s">
        <v>62</v>
      </c>
      <c r="B53" s="3" t="s">
        <v>17</v>
      </c>
      <c r="C53" s="4" t="n">
        <v>971.164700967782</v>
      </c>
      <c r="D53" s="4" t="n">
        <v>67.1275005511387</v>
      </c>
      <c r="E53" s="5" t="n">
        <v>40.1993288445696</v>
      </c>
      <c r="F53" s="6" t="n">
        <v>85.2481688895365</v>
      </c>
      <c r="G53" s="7" t="n">
        <f aca="false">Regresion!$B$4 + (Regresion!$B$5 * C53) + (Regresion!$B$6 * D53) + (Regresion!$B$7 * E53)</f>
        <v>89.1360629472904</v>
      </c>
      <c r="H53" s="7" t="n">
        <f aca="false">F53 - G53</f>
        <v>-3.88789405775395</v>
      </c>
    </row>
    <row r="54" customFormat="false" ht="14.25" hidden="false" customHeight="false" outlineLevel="0" collapsed="false">
      <c r="A54" s="2" t="s">
        <v>63</v>
      </c>
      <c r="B54" s="3" t="s">
        <v>17</v>
      </c>
      <c r="C54" s="4" t="n">
        <v>1174.9786875396</v>
      </c>
      <c r="D54" s="4" t="n">
        <v>67.2535602083722</v>
      </c>
      <c r="E54" s="5" t="n">
        <v>40.3645097238823</v>
      </c>
      <c r="F54" s="6" t="n">
        <v>100.752324751632</v>
      </c>
      <c r="G54" s="7" t="n">
        <f aca="false">Regresion!$B$4 + (Regresion!$B$5 * C54) + (Regresion!$B$6 * D54) + (Regresion!$B$7 * E54)</f>
        <v>97.208181763671</v>
      </c>
      <c r="H54" s="7" t="n">
        <f aca="false">F54 - G54</f>
        <v>3.54414298796129</v>
      </c>
    </row>
    <row r="55" customFormat="false" ht="14.25" hidden="false" customHeight="false" outlineLevel="0" collapsed="false">
      <c r="A55" s="2" t="s">
        <v>64</v>
      </c>
      <c r="B55" s="3" t="s">
        <v>17</v>
      </c>
      <c r="C55" s="4" t="n">
        <v>1119.58591453029</v>
      </c>
      <c r="D55" s="4" t="n">
        <v>57.1847924597001</v>
      </c>
      <c r="E55" s="5" t="n">
        <v>40.4983976024138</v>
      </c>
      <c r="F55" s="6" t="n">
        <v>97.2637935810739</v>
      </c>
      <c r="G55" s="7" t="n">
        <f aca="false">Regresion!$B$4 + (Regresion!$B$5 * C55) + (Regresion!$B$6 * D55) + (Regresion!$B$7 * E55)</f>
        <v>98.8144441121679</v>
      </c>
      <c r="H55" s="7" t="n">
        <f aca="false">F55 - G55</f>
        <v>-1.55065053109402</v>
      </c>
    </row>
    <row r="56" customFormat="false" ht="14.25" hidden="false" customHeight="false" outlineLevel="0" collapsed="false">
      <c r="A56" s="2" t="s">
        <v>65</v>
      </c>
      <c r="B56" s="3" t="s">
        <v>9</v>
      </c>
      <c r="C56" s="4" t="n">
        <v>751.395973725746</v>
      </c>
      <c r="D56" s="4" t="n">
        <v>11.2998463156041</v>
      </c>
      <c r="E56" s="5" t="n">
        <v>39.3328929566967</v>
      </c>
      <c r="F56" s="6" t="n">
        <v>88.8558751090753</v>
      </c>
      <c r="G56" s="7" t="n">
        <f aca="false">Regresion!$B$4 + (Regresion!$B$5 * C56) + (Regresion!$B$6 * D56) + (Regresion!$B$7 * E56)</f>
        <v>91.061985342278</v>
      </c>
      <c r="H56" s="7" t="n">
        <f aca="false">F56 - G56</f>
        <v>-2.20611023320269</v>
      </c>
    </row>
    <row r="57" customFormat="false" ht="14.25" hidden="false" customHeight="false" outlineLevel="0" collapsed="false">
      <c r="A57" s="2" t="s">
        <v>66</v>
      </c>
      <c r="B57" s="3" t="s">
        <v>9</v>
      </c>
      <c r="C57" s="4" t="n">
        <v>1153.12405142867</v>
      </c>
      <c r="D57" s="4" t="n">
        <v>88.0361570456915</v>
      </c>
      <c r="E57" s="5" t="n">
        <v>39.3043972545929</v>
      </c>
      <c r="F57" s="6" t="n">
        <v>92.0528290431176</v>
      </c>
      <c r="G57" s="7" t="n">
        <f aca="false">Regresion!$B$4 + (Regresion!$B$5 * C57) + (Regresion!$B$6 * D57) + (Regresion!$B$7 * E57)</f>
        <v>84.2848602129876</v>
      </c>
      <c r="H57" s="7" t="n">
        <f aca="false">F57 - G57</f>
        <v>7.76796883013</v>
      </c>
    </row>
    <row r="58" customFormat="false" ht="14.25" hidden="false" customHeight="false" outlineLevel="0" collapsed="false">
      <c r="A58" s="2" t="s">
        <v>67</v>
      </c>
      <c r="B58" s="3" t="s">
        <v>17</v>
      </c>
      <c r="C58" s="4" t="n">
        <v>119.73070254438</v>
      </c>
      <c r="D58" s="4" t="n">
        <v>35.0403466920888</v>
      </c>
      <c r="E58" s="5" t="n">
        <v>40.1650560190037</v>
      </c>
      <c r="F58" s="6" t="n">
        <v>72.4364988373578</v>
      </c>
      <c r="G58" s="7" t="n">
        <f aca="false">Regresion!$B$4 + (Regresion!$B$5 * C58) + (Regresion!$B$6 * D58) + (Regresion!$B$7 * E58)</f>
        <v>67.9486617011792</v>
      </c>
      <c r="H58" s="7" t="n">
        <f aca="false">F58 - G58</f>
        <v>4.48783713617858</v>
      </c>
    </row>
    <row r="59" customFormat="false" ht="14.25" hidden="false" customHeight="false" outlineLevel="0" collapsed="false">
      <c r="A59" s="2" t="s">
        <v>68</v>
      </c>
      <c r="B59" s="3" t="s">
        <v>9</v>
      </c>
      <c r="C59" s="4" t="n">
        <v>253.01874939974</v>
      </c>
      <c r="D59" s="4" t="n">
        <v>21.211406571185</v>
      </c>
      <c r="E59" s="5" t="n">
        <v>39.7348953992555</v>
      </c>
      <c r="F59" s="6" t="n">
        <v>77.9603766426993</v>
      </c>
      <c r="G59" s="7" t="n">
        <f aca="false">Regresion!$B$4 + (Regresion!$B$5 * C59) + (Regresion!$B$6 * D59) + (Regresion!$B$7 * E59)</f>
        <v>73.6031390902807</v>
      </c>
      <c r="H59" s="7" t="n">
        <f aca="false">F59 - G59</f>
        <v>4.35723755241864</v>
      </c>
    </row>
    <row r="60" customFormat="false" ht="14.25" hidden="false" customHeight="false" outlineLevel="0" collapsed="false">
      <c r="A60" s="2" t="s">
        <v>69</v>
      </c>
      <c r="B60" s="3" t="s">
        <v>17</v>
      </c>
      <c r="C60" s="4" t="n">
        <v>66.0818382490672</v>
      </c>
      <c r="D60" s="4" t="n">
        <v>6.19983958014068</v>
      </c>
      <c r="E60" s="5" t="n">
        <v>39.8857039440473</v>
      </c>
      <c r="F60" s="6" t="n">
        <v>79.2659037032239</v>
      </c>
      <c r="G60" s="7" t="n">
        <f aca="false">Regresion!$B$4 + (Regresion!$B$5 * C60) + (Regresion!$B$6 * D60) + (Regresion!$B$7 * E60)</f>
        <v>72.0703878928465</v>
      </c>
      <c r="H60" s="7" t="n">
        <f aca="false">F60 - G60</f>
        <v>7.1955158103774</v>
      </c>
    </row>
    <row r="61" customFormat="false" ht="14.25" hidden="false" customHeight="false" outlineLevel="0" collapsed="false">
      <c r="A61" s="2" t="s">
        <v>70</v>
      </c>
      <c r="B61" s="3" t="s">
        <v>17</v>
      </c>
      <c r="C61" s="4" t="n">
        <v>413.409610146448</v>
      </c>
      <c r="D61" s="4" t="n">
        <v>62.8619731483889</v>
      </c>
      <c r="E61" s="5" t="n">
        <v>40.1577987413647</v>
      </c>
      <c r="F61" s="6" t="n">
        <v>70.4785060251081</v>
      </c>
      <c r="G61" s="7" t="n">
        <f aca="false">Regresion!$B$4 + (Regresion!$B$5 * C61) + (Regresion!$B$6 * D61) + (Regresion!$B$7 * E61)</f>
        <v>70.6511263243369</v>
      </c>
      <c r="H61" s="7" t="n">
        <f aca="false">F61 - G61</f>
        <v>-0.172620299228825</v>
      </c>
    </row>
    <row r="62" customFormat="false" ht="14.25" hidden="false" customHeight="false" outlineLevel="0" collapsed="false">
      <c r="A62" s="2" t="s">
        <v>71</v>
      </c>
      <c r="B62" s="3" t="s">
        <v>17</v>
      </c>
      <c r="C62" s="4" t="n">
        <v>491.959839214958</v>
      </c>
      <c r="D62" s="4" t="n">
        <v>71.7891292697551</v>
      </c>
      <c r="E62" s="5" t="n">
        <v>40.4310154912709</v>
      </c>
      <c r="F62" s="6" t="n">
        <v>76.9095072384741</v>
      </c>
      <c r="G62" s="7" t="n">
        <f aca="false">Regresion!$B$4 + (Regresion!$B$5 * C62) + (Regresion!$B$6 * D62) + (Regresion!$B$7 * E62)</f>
        <v>72.6888114940419</v>
      </c>
      <c r="H62" s="7" t="n">
        <f aca="false">F62 - G62</f>
        <v>4.22069574443214</v>
      </c>
    </row>
    <row r="63" customFormat="false" ht="14.25" hidden="false" customHeight="false" outlineLevel="0" collapsed="false">
      <c r="A63" s="2" t="s">
        <v>72</v>
      </c>
      <c r="B63" s="3" t="s">
        <v>9</v>
      </c>
      <c r="C63" s="4" t="n">
        <v>346.472799399631</v>
      </c>
      <c r="D63" s="4" t="n">
        <v>3.70854637956918</v>
      </c>
      <c r="E63" s="5" t="n">
        <v>38.8301859548695</v>
      </c>
      <c r="F63" s="6" t="n">
        <v>72.9652977395194</v>
      </c>
      <c r="G63" s="7" t="n">
        <f aca="false">Regresion!$B$4 + (Regresion!$B$5 * C63) + (Regresion!$B$6 * D63) + (Regresion!$B$7 * E63)</f>
        <v>75.9043617021712</v>
      </c>
      <c r="H63" s="7" t="n">
        <f aca="false">F63 - G63</f>
        <v>-2.93906396265186</v>
      </c>
    </row>
    <row r="64" customFormat="false" ht="14.25" hidden="false" customHeight="false" outlineLevel="0" collapsed="false">
      <c r="A64" s="2" t="s">
        <v>73</v>
      </c>
      <c r="B64" s="3" t="s">
        <v>9</v>
      </c>
      <c r="C64" s="4" t="n">
        <v>1037.63451134839</v>
      </c>
      <c r="D64" s="4" t="n">
        <v>54.7455850048259</v>
      </c>
      <c r="E64" s="5" t="n">
        <v>38.9391905626558</v>
      </c>
      <c r="F64" s="6" t="n">
        <v>89.1653051826091</v>
      </c>
      <c r="G64" s="7" t="n">
        <f aca="false">Regresion!$B$4 + (Regresion!$B$5 * C64) + (Regresion!$B$6 * D64) + (Regresion!$B$7 * E64)</f>
        <v>86.9164270343454</v>
      </c>
      <c r="H64" s="7" t="n">
        <f aca="false">F64 - G64</f>
        <v>2.2488781482637</v>
      </c>
    </row>
    <row r="65" customFormat="false" ht="14.25" hidden="false" customHeight="false" outlineLevel="0" collapsed="false">
      <c r="A65" s="2" t="s">
        <v>74</v>
      </c>
      <c r="B65" s="3" t="s">
        <v>12</v>
      </c>
      <c r="C65" s="4" t="n">
        <v>452.374125100051</v>
      </c>
      <c r="D65" s="4" t="n">
        <v>25.3290648453876</v>
      </c>
      <c r="E65" s="5" t="n">
        <v>38.1225476255385</v>
      </c>
      <c r="F65" s="6" t="n">
        <v>68.216803524026</v>
      </c>
      <c r="G65" s="7" t="n">
        <f aca="false">Regresion!$B$4 + (Regresion!$B$5 * C65) + (Regresion!$B$6 * D65) + (Regresion!$B$7 * E65)</f>
        <v>69.3871264759387</v>
      </c>
      <c r="H65" s="7" t="n">
        <f aca="false">F65 - G65</f>
        <v>-1.17032295191271</v>
      </c>
    </row>
    <row r="66" customFormat="false" ht="14.25" hidden="false" customHeight="false" outlineLevel="0" collapsed="false">
      <c r="A66" s="2" t="s">
        <v>75</v>
      </c>
      <c r="B66" s="3" t="s">
        <v>9</v>
      </c>
      <c r="C66" s="4" t="n">
        <v>358.358792012352</v>
      </c>
      <c r="D66" s="4" t="n">
        <v>68.4527974121733</v>
      </c>
      <c r="E66" s="5" t="n">
        <v>39.5270124088889</v>
      </c>
      <c r="F66" s="6" t="n">
        <v>63.8898486705166</v>
      </c>
      <c r="G66" s="7" t="n">
        <f aca="false">Regresion!$B$4 + (Regresion!$B$5 * C66) + (Regresion!$B$6 * D66) + (Regresion!$B$7 * E66)</f>
        <v>63.3158051698708</v>
      </c>
      <c r="H66" s="7" t="n">
        <f aca="false">F66 - G66</f>
        <v>0.574043500645793</v>
      </c>
    </row>
    <row r="67" customFormat="false" ht="14.25" hidden="false" customHeight="false" outlineLevel="0" collapsed="false">
      <c r="A67" s="2" t="s">
        <v>76</v>
      </c>
      <c r="B67" s="3" t="s">
        <v>12</v>
      </c>
      <c r="C67" s="4" t="n">
        <v>682.943143116228</v>
      </c>
      <c r="D67" s="4" t="n">
        <v>19.9597421875141</v>
      </c>
      <c r="E67" s="5" t="n">
        <v>37.9542325940106</v>
      </c>
      <c r="F67" s="6" t="n">
        <v>81.374838443641</v>
      </c>
      <c r="G67" s="7" t="n">
        <f aca="false">Regresion!$B$4 + (Regresion!$B$5 * C67) + (Regresion!$B$6 * D67) + (Regresion!$B$7 * E67)</f>
        <v>77.7841659528024</v>
      </c>
      <c r="H67" s="7" t="n">
        <f aca="false">F67 - G67</f>
        <v>3.59067249083857</v>
      </c>
    </row>
    <row r="68" customFormat="false" ht="14.25" hidden="false" customHeight="false" outlineLevel="0" collapsed="false">
      <c r="A68" s="2" t="s">
        <v>77</v>
      </c>
      <c r="B68" s="3" t="s">
        <v>9</v>
      </c>
      <c r="C68" s="4" t="n">
        <v>184.746038968706</v>
      </c>
      <c r="D68" s="4" t="n">
        <v>73.166587024554</v>
      </c>
      <c r="E68" s="5" t="n">
        <v>39.2002342525841</v>
      </c>
      <c r="F68" s="6" t="n">
        <v>48.7221022361274</v>
      </c>
      <c r="G68" s="7" t="n">
        <f aca="false">Regresion!$B$4 + (Regresion!$B$5 * C68) + (Regresion!$B$6 * D68) + (Regresion!$B$7 * E68)</f>
        <v>53.9904607910411</v>
      </c>
      <c r="H68" s="7" t="n">
        <f aca="false">F68 - G68</f>
        <v>-5.26835855491373</v>
      </c>
    </row>
    <row r="69" customFormat="false" ht="14.25" hidden="false" customHeight="false" outlineLevel="0" collapsed="false">
      <c r="A69" s="2" t="s">
        <v>78</v>
      </c>
      <c r="B69" s="3" t="s">
        <v>9</v>
      </c>
      <c r="C69" s="4" t="n">
        <v>1004.72425613501</v>
      </c>
      <c r="D69" s="4" t="n">
        <v>41.8337406689554</v>
      </c>
      <c r="E69" s="5" t="n">
        <v>39.423669440652</v>
      </c>
      <c r="F69" s="6" t="n">
        <v>105.625834646438</v>
      </c>
      <c r="G69" s="7" t="n">
        <f aca="false">Regresion!$B$4 + (Regresion!$B$5 * C69) + (Regresion!$B$6 * D69) + (Regresion!$B$7 * E69)</f>
        <v>92.247084932994</v>
      </c>
      <c r="H69" s="7" t="n">
        <f aca="false">F69 - G69</f>
        <v>13.3787497134435</v>
      </c>
    </row>
    <row r="70" customFormat="false" ht="14.25" hidden="false" customHeight="false" outlineLevel="0" collapsed="false">
      <c r="A70" s="2" t="s">
        <v>79</v>
      </c>
      <c r="B70" s="3" t="s">
        <v>12</v>
      </c>
      <c r="C70" s="4" t="n">
        <v>102.442798162916</v>
      </c>
      <c r="D70" s="4" t="n">
        <v>98.4831888398837</v>
      </c>
      <c r="E70" s="5" t="n">
        <v>38.680969631172</v>
      </c>
      <c r="F70" s="6" t="n">
        <v>35.1652679708025</v>
      </c>
      <c r="G70" s="7" t="n">
        <f aca="false">Regresion!$B$4 + (Regresion!$B$5 * C70) + (Regresion!$B$6 * D70) + (Regresion!$B$7 * E70)</f>
        <v>41.1203016567931</v>
      </c>
      <c r="H70" s="7" t="n">
        <f aca="false">F70 - G70</f>
        <v>-5.95503368599056</v>
      </c>
    </row>
    <row r="71" customFormat="false" ht="14.25" hidden="false" customHeight="false" outlineLevel="0" collapsed="false">
      <c r="A71" s="2" t="s">
        <v>80</v>
      </c>
      <c r="B71" s="3" t="s">
        <v>9</v>
      </c>
      <c r="C71" s="4" t="n">
        <v>1233.73980138464</v>
      </c>
      <c r="D71" s="4" t="n">
        <v>16.1646572470373</v>
      </c>
      <c r="E71" s="5" t="n">
        <v>39.5634164556501</v>
      </c>
      <c r="F71" s="6" t="n">
        <v>99.4543806858336</v>
      </c>
      <c r="G71" s="7" t="n">
        <f aca="false">Regresion!$B$4 + (Regresion!$B$5 * C71) + (Regresion!$B$6 * D71) + (Regresion!$B$7 * E71)</f>
        <v>107.944080612174</v>
      </c>
      <c r="H71" s="7" t="n">
        <f aca="false">F71 - G71</f>
        <v>-8.48969992634035</v>
      </c>
    </row>
    <row r="72" customFormat="false" ht="14.25" hidden="false" customHeight="false" outlineLevel="0" collapsed="false">
      <c r="A72" s="2" t="s">
        <v>81</v>
      </c>
      <c r="B72" s="3" t="s">
        <v>12</v>
      </c>
      <c r="C72" s="4" t="n">
        <v>967.583513927855</v>
      </c>
      <c r="D72" s="4" t="n">
        <v>37.1298341581766</v>
      </c>
      <c r="E72" s="5" t="n">
        <v>37.9384507248233</v>
      </c>
      <c r="F72" s="6" t="n">
        <v>90.6146621273107</v>
      </c>
      <c r="G72" s="7" t="n">
        <f aca="false">Regresion!$B$4 + (Regresion!$B$5 * C72) + (Regresion!$B$6 * D72) + (Regresion!$B$7 * E72)</f>
        <v>82.9722146587821</v>
      </c>
      <c r="H72" s="7" t="n">
        <f aca="false">F72 - G72</f>
        <v>7.64244746852864</v>
      </c>
    </row>
    <row r="73" customFormat="false" ht="14.25" hidden="false" customHeight="false" outlineLevel="0" collapsed="false">
      <c r="A73" s="2" t="s">
        <v>82</v>
      </c>
      <c r="B73" s="3" t="s">
        <v>12</v>
      </c>
      <c r="C73" s="4" t="n">
        <v>256.407445102374</v>
      </c>
      <c r="D73" s="4" t="n">
        <v>13.6877726877807</v>
      </c>
      <c r="E73" s="5" t="n">
        <v>37.9583097473727</v>
      </c>
      <c r="F73" s="6" t="n">
        <v>69.281700257372</v>
      </c>
      <c r="G73" s="7" t="n">
        <f aca="false">Regresion!$B$4 + (Regresion!$B$5 * C73) + (Regresion!$B$6 * D73) + (Regresion!$B$7 * E73)</f>
        <v>64.6772072569582</v>
      </c>
      <c r="H73" s="7" t="n">
        <f aca="false">F73 - G73</f>
        <v>4.60449300041378</v>
      </c>
    </row>
    <row r="74" customFormat="false" ht="14.25" hidden="false" customHeight="false" outlineLevel="0" collapsed="false">
      <c r="A74" s="2" t="s">
        <v>83</v>
      </c>
      <c r="B74" s="3" t="s">
        <v>17</v>
      </c>
      <c r="C74" s="4" t="n">
        <v>16.847425233267</v>
      </c>
      <c r="D74" s="4" t="n">
        <v>97.243442682692</v>
      </c>
      <c r="E74" s="5" t="n">
        <v>40.235541625913</v>
      </c>
      <c r="F74" s="6" t="n">
        <v>52.2974619166557</v>
      </c>
      <c r="G74" s="7" t="n">
        <f aca="false">Regresion!$B$4 + (Regresion!$B$5 * C74) + (Regresion!$B$6 * D74) + (Regresion!$B$7 * E74)</f>
        <v>48.1564304431995</v>
      </c>
      <c r="H74" s="7" t="n">
        <f aca="false">F74 - G74</f>
        <v>4.14103147345619</v>
      </c>
    </row>
    <row r="75" customFormat="false" ht="14.25" hidden="false" customHeight="false" outlineLevel="0" collapsed="false">
      <c r="A75" s="2" t="s">
        <v>84</v>
      </c>
      <c r="B75" s="3" t="s">
        <v>9</v>
      </c>
      <c r="C75" s="4" t="n">
        <v>1021.17217128399</v>
      </c>
      <c r="D75" s="4" t="n">
        <v>92.3659533982411</v>
      </c>
      <c r="E75" s="5" t="n">
        <v>38.8945528600927</v>
      </c>
      <c r="F75" s="6" t="n">
        <v>80.8418803024804</v>
      </c>
      <c r="G75" s="7" t="n">
        <f aca="false">Regresion!$B$4 + (Regresion!$B$5 * C75) + (Regresion!$B$6 * D75) + (Regresion!$B$7 * E75)</f>
        <v>75.9920265281665</v>
      </c>
      <c r="H75" s="7" t="n">
        <f aca="false">F75 - G75</f>
        <v>4.84985377431386</v>
      </c>
    </row>
    <row r="76" customFormat="false" ht="14.25" hidden="false" customHeight="false" outlineLevel="0" collapsed="false">
      <c r="A76" s="2" t="s">
        <v>85</v>
      </c>
      <c r="B76" s="3" t="s">
        <v>12</v>
      </c>
      <c r="C76" s="4" t="n">
        <v>886.503106371045</v>
      </c>
      <c r="D76" s="4" t="n">
        <v>28.567987654661</v>
      </c>
      <c r="E76" s="5" t="n">
        <v>38.2184754866905</v>
      </c>
      <c r="F76" s="6" t="n">
        <v>83.9762863355722</v>
      </c>
      <c r="G76" s="7" t="n">
        <f aca="false">Regresion!$B$4 + (Regresion!$B$5 * C76) + (Regresion!$B$6 * D76) + (Regresion!$B$7 * E76)</f>
        <v>84.1925200893882</v>
      </c>
      <c r="H76" s="7" t="n">
        <f aca="false">F76 - G76</f>
        <v>-0.216233753815999</v>
      </c>
    </row>
    <row r="77" customFormat="false" ht="14.25" hidden="false" customHeight="false" outlineLevel="0" collapsed="false">
      <c r="A77" s="2" t="s">
        <v>86</v>
      </c>
      <c r="B77" s="3" t="s">
        <v>9</v>
      </c>
      <c r="C77" s="4" t="n">
        <v>913.968888370824</v>
      </c>
      <c r="D77" s="4" t="n">
        <v>69.9783567415204</v>
      </c>
      <c r="E77" s="5" t="n">
        <v>39.3645054541589</v>
      </c>
      <c r="F77" s="6" t="n">
        <v>75.5808552120451</v>
      </c>
      <c r="G77" s="7" t="n">
        <f aca="false">Regresion!$B$4 + (Regresion!$B$5 * C77) + (Regresion!$B$6 * D77) + (Regresion!$B$7 * E77)</f>
        <v>81.1899866736182</v>
      </c>
      <c r="H77" s="7" t="n">
        <f aca="false">F77 - G77</f>
        <v>-5.6091314615731</v>
      </c>
    </row>
    <row r="78" customFormat="false" ht="14.25" hidden="false" customHeight="false" outlineLevel="0" collapsed="false">
      <c r="A78" s="2" t="s">
        <v>87</v>
      </c>
      <c r="B78" s="3" t="s">
        <v>17</v>
      </c>
      <c r="C78" s="4" t="n">
        <v>966.375229890573</v>
      </c>
      <c r="D78" s="4" t="n">
        <v>86.1738866207252</v>
      </c>
      <c r="E78" s="5" t="n">
        <v>40.082981303986</v>
      </c>
      <c r="F78" s="6" t="n">
        <v>83.9390202083416</v>
      </c>
      <c r="G78" s="7" t="n">
        <f aca="false">Regresion!$B$4 + (Regresion!$B$5 * C78) + (Regresion!$B$6 * D78) + (Regresion!$B$7 * E78)</f>
        <v>83.1448370091805</v>
      </c>
      <c r="H78" s="7" t="n">
        <f aca="false">F78 - G78</f>
        <v>0.794183199161083</v>
      </c>
    </row>
    <row r="79" customFormat="false" ht="14.25" hidden="false" customHeight="false" outlineLevel="0" collapsed="false">
      <c r="A79" s="2" t="s">
        <v>88</v>
      </c>
      <c r="B79" s="3" t="s">
        <v>12</v>
      </c>
      <c r="C79" s="4" t="n">
        <v>101.815368150272</v>
      </c>
      <c r="D79" s="4" t="n">
        <v>59.1856835947446</v>
      </c>
      <c r="E79" s="5" t="n">
        <v>38.4758809797408</v>
      </c>
      <c r="F79" s="6" t="n">
        <v>45.9426500539545</v>
      </c>
      <c r="G79" s="7" t="n">
        <f aca="false">Regresion!$B$4 + (Regresion!$B$5 * C79) + (Regresion!$B$6 * D79) + (Regresion!$B$7 * E79)</f>
        <v>50.3459447562592</v>
      </c>
      <c r="H79" s="7" t="n">
        <f aca="false">F79 - G79</f>
        <v>-4.40329470230472</v>
      </c>
    </row>
    <row r="80" customFormat="false" ht="14.25" hidden="false" customHeight="false" outlineLevel="0" collapsed="false">
      <c r="A80" s="2" t="s">
        <v>89</v>
      </c>
      <c r="B80" s="3" t="s">
        <v>9</v>
      </c>
      <c r="C80" s="4" t="n">
        <v>454.497503394898</v>
      </c>
      <c r="D80" s="4" t="n">
        <v>56.5540095706687</v>
      </c>
      <c r="E80" s="5" t="n">
        <v>39.6563823798751</v>
      </c>
      <c r="F80" s="6" t="n">
        <v>76.7315079049147</v>
      </c>
      <c r="G80" s="7" t="n">
        <f aca="false">Regresion!$B$4 + (Regresion!$B$5 * C80) + (Regresion!$B$6 * D80) + (Regresion!$B$7 * E80)</f>
        <v>70.6461550182579</v>
      </c>
      <c r="H80" s="7" t="n">
        <f aca="false">F80 - G80</f>
        <v>6.08535288665685</v>
      </c>
    </row>
    <row r="81" customFormat="false" ht="14.25" hidden="false" customHeight="false" outlineLevel="0" collapsed="false">
      <c r="A81" s="2" t="s">
        <v>90</v>
      </c>
      <c r="B81" s="3" t="s">
        <v>12</v>
      </c>
      <c r="C81" s="4" t="n">
        <v>153.677633811161</v>
      </c>
      <c r="D81" s="4" t="n">
        <v>26.9107859627465</v>
      </c>
      <c r="E81" s="5" t="n">
        <v>38.0975076484819</v>
      </c>
      <c r="F81" s="6" t="n">
        <v>57.0763140327161</v>
      </c>
      <c r="G81" s="7" t="n">
        <f aca="false">Regresion!$B$4 + (Regresion!$B$5 * C81) + (Regresion!$B$6 * D81) + (Regresion!$B$7 * E81)</f>
        <v>58.4350576922324</v>
      </c>
      <c r="H81" s="7" t="n">
        <f aca="false">F81 - G81</f>
        <v>-1.35874365951636</v>
      </c>
    </row>
    <row r="82" customFormat="false" ht="14.25" hidden="false" customHeight="false" outlineLevel="0" collapsed="false">
      <c r="A82" s="2" t="s">
        <v>91</v>
      </c>
      <c r="B82" s="3" t="s">
        <v>12</v>
      </c>
      <c r="C82" s="4" t="n">
        <v>1080.24824808574</v>
      </c>
      <c r="D82" s="4" t="n">
        <v>11.5895850840076</v>
      </c>
      <c r="E82" s="5" t="n">
        <v>37.999876991389</v>
      </c>
      <c r="F82" s="6" t="n">
        <v>88.4612297733173</v>
      </c>
      <c r="G82" s="7" t="n">
        <f aca="false">Regresion!$B$4 + (Regresion!$B$5 * C82) + (Regresion!$B$6 * D82) + (Regresion!$B$7 * E82)</f>
        <v>94.1067660201624</v>
      </c>
      <c r="H82" s="7" t="n">
        <f aca="false">F82 - G82</f>
        <v>-5.64553624684501</v>
      </c>
    </row>
    <row r="83" customFormat="false" ht="14.25" hidden="false" customHeight="false" outlineLevel="0" collapsed="false">
      <c r="A83" s="2" t="s">
        <v>92</v>
      </c>
      <c r="B83" s="3" t="s">
        <v>9</v>
      </c>
      <c r="C83" s="4" t="n">
        <v>782.889677266172</v>
      </c>
      <c r="D83" s="4" t="n">
        <v>94.4132230691927</v>
      </c>
      <c r="E83" s="5" t="n">
        <v>39.3909284315476</v>
      </c>
      <c r="F83" s="6" t="n">
        <v>68.7370602412719</v>
      </c>
      <c r="G83" s="7" t="n">
        <f aca="false">Regresion!$B$4 + (Regresion!$B$5 * C83) + (Regresion!$B$6 * D83) + (Regresion!$B$7 * E83)</f>
        <v>70.2588178003058</v>
      </c>
      <c r="H83" s="7" t="n">
        <f aca="false">F83 - G83</f>
        <v>-1.52175755903383</v>
      </c>
    </row>
    <row r="84" customFormat="false" ht="14.25" hidden="false" customHeight="false" outlineLevel="0" collapsed="false">
      <c r="A84" s="2" t="s">
        <v>93</v>
      </c>
      <c r="B84" s="3" t="s">
        <v>9</v>
      </c>
      <c r="C84" s="4" t="n">
        <v>420.313550817285</v>
      </c>
      <c r="D84" s="4" t="n">
        <v>94.743059887823</v>
      </c>
      <c r="E84" s="5" t="n">
        <v>39.4178418526693</v>
      </c>
      <c r="F84" s="6" t="n">
        <v>60.8605565574215</v>
      </c>
      <c r="G84" s="7" t="n">
        <f aca="false">Regresion!$B$4 + (Regresion!$B$5 * C84) + (Regresion!$B$6 * D84) + (Regresion!$B$7 * E84)</f>
        <v>57.7470939076862</v>
      </c>
      <c r="H84" s="7" t="n">
        <f aca="false">F84 - G84</f>
        <v>3.11346264973527</v>
      </c>
    </row>
    <row r="85" customFormat="false" ht="14.25" hidden="false" customHeight="false" outlineLevel="0" collapsed="false">
      <c r="A85" s="2" t="s">
        <v>94</v>
      </c>
      <c r="B85" s="3" t="s">
        <v>9</v>
      </c>
      <c r="C85" s="4" t="n">
        <v>88.8123543546693</v>
      </c>
      <c r="D85" s="4" t="n">
        <v>67.2094500991466</v>
      </c>
      <c r="E85" s="5" t="n">
        <v>39.6985467143448</v>
      </c>
      <c r="F85" s="6" t="n">
        <v>51.4650105687484</v>
      </c>
      <c r="G85" s="7" t="n">
        <f aca="false">Regresion!$B$4 + (Regresion!$B$5 * C85) + (Regresion!$B$6 * D85) + (Regresion!$B$7 * E85)</f>
        <v>55.3561614870997</v>
      </c>
      <c r="H85" s="7" t="n">
        <f aca="false">F85 - G85</f>
        <v>-3.89115091835133</v>
      </c>
    </row>
    <row r="86" customFormat="false" ht="14.25" hidden="false" customHeight="false" outlineLevel="0" collapsed="false">
      <c r="A86" s="2" t="s">
        <v>95</v>
      </c>
      <c r="B86" s="3" t="s">
        <v>17</v>
      </c>
      <c r="C86" s="4" t="n">
        <v>395.618078927421</v>
      </c>
      <c r="D86" s="4" t="n">
        <v>36.9200684780162</v>
      </c>
      <c r="E86" s="5" t="n">
        <v>39.9556648677957</v>
      </c>
      <c r="F86" s="6" t="n">
        <v>69.6948524044403</v>
      </c>
      <c r="G86" s="7" t="n">
        <f aca="false">Regresion!$B$4 + (Regresion!$B$5 * C86) + (Regresion!$B$6 * D86) + (Regresion!$B$7 * E86)</f>
        <v>75.7224368374933</v>
      </c>
      <c r="H86" s="7" t="n">
        <f aca="false">F86 - G86</f>
        <v>-6.02758443305301</v>
      </c>
    </row>
    <row r="87" customFormat="false" ht="14.25" hidden="false" customHeight="false" outlineLevel="0" collapsed="false">
      <c r="A87" s="2" t="s">
        <v>96</v>
      </c>
      <c r="B87" s="3" t="s">
        <v>17</v>
      </c>
      <c r="C87" s="4" t="n">
        <v>413.227319313166</v>
      </c>
      <c r="D87" s="4" t="n">
        <v>37.9685861851041</v>
      </c>
      <c r="E87" s="5" t="n">
        <v>40.6799710304414</v>
      </c>
      <c r="F87" s="6" t="n">
        <v>81.2777272320756</v>
      </c>
      <c r="G87" s="7" t="n">
        <f aca="false">Regresion!$B$4 + (Regresion!$B$5 * C87) + (Regresion!$B$6 * D87) + (Regresion!$B$7 * E87)</f>
        <v>80.5616310270205</v>
      </c>
      <c r="H87" s="7" t="n">
        <f aca="false">F87 - G87</f>
        <v>0.716096205055081</v>
      </c>
    </row>
    <row r="88" customFormat="false" ht="14.25" hidden="false" customHeight="false" outlineLevel="0" collapsed="false">
      <c r="A88" s="2" t="s">
        <v>97</v>
      </c>
      <c r="B88" s="3" t="s">
        <v>9</v>
      </c>
      <c r="C88" s="4" t="n">
        <v>914.7116611392</v>
      </c>
      <c r="D88" s="4" t="n">
        <v>76.7734349236347</v>
      </c>
      <c r="E88" s="5" t="n">
        <v>39.3472710100735</v>
      </c>
      <c r="F88" s="6" t="n">
        <v>81.220764283894</v>
      </c>
      <c r="G88" s="7" t="n">
        <f aca="false">Regresion!$B$4 + (Regresion!$B$5 * C88) + (Regresion!$B$6 * D88) + (Regresion!$B$7 * E88)</f>
        <v>79.2887563150588</v>
      </c>
      <c r="H88" s="7" t="n">
        <f aca="false">F88 - G88</f>
        <v>1.93200796883525</v>
      </c>
    </row>
    <row r="89" customFormat="false" ht="14.25" hidden="false" customHeight="false" outlineLevel="0" collapsed="false">
      <c r="A89" s="2" t="s">
        <v>98</v>
      </c>
      <c r="B89" s="3" t="s">
        <v>9</v>
      </c>
      <c r="C89" s="4" t="n">
        <v>800.571264480464</v>
      </c>
      <c r="D89" s="4" t="n">
        <v>94.4023567751154</v>
      </c>
      <c r="E89" s="5" t="n">
        <v>38.7865737715296</v>
      </c>
      <c r="F89" s="6" t="n">
        <v>64.5664207595278</v>
      </c>
      <c r="G89" s="7" t="n">
        <f aca="false">Regresion!$B$4 + (Regresion!$B$5 * C89) + (Regresion!$B$6 * D89) + (Regresion!$B$7 * E89)</f>
        <v>67.1139009648129</v>
      </c>
      <c r="H89" s="7" t="n">
        <f aca="false">F89 - G89</f>
        <v>-2.5474802052851</v>
      </c>
    </row>
    <row r="90" customFormat="false" ht="14.25" hidden="false" customHeight="false" outlineLevel="0" collapsed="false">
      <c r="A90" s="2" t="s">
        <v>99</v>
      </c>
      <c r="B90" s="3" t="s">
        <v>17</v>
      </c>
      <c r="C90" s="4" t="n">
        <v>1110.14380079465</v>
      </c>
      <c r="D90" s="4" t="n">
        <v>93.3699016993071</v>
      </c>
      <c r="E90" s="5" t="n">
        <v>40.1560399648292</v>
      </c>
      <c r="F90" s="6" t="n">
        <v>84.0554675933689</v>
      </c>
      <c r="G90" s="7" t="n">
        <f aca="false">Regresion!$B$4 + (Regresion!$B$5 * C90) + (Regresion!$B$6 * D90) + (Regresion!$B$7 * E90)</f>
        <v>86.6650217321528</v>
      </c>
      <c r="H90" s="7" t="n">
        <f aca="false">F90 - G90</f>
        <v>-2.60955413878395</v>
      </c>
    </row>
    <row r="91" customFormat="false" ht="14.25" hidden="false" customHeight="false" outlineLevel="0" collapsed="false">
      <c r="A91" s="2" t="s">
        <v>100</v>
      </c>
      <c r="B91" s="3" t="s">
        <v>12</v>
      </c>
      <c r="C91" s="4" t="n">
        <v>595.546507200817</v>
      </c>
      <c r="D91" s="4" t="n">
        <v>82.3271812233353</v>
      </c>
      <c r="E91" s="5" t="n">
        <v>38.63541352866</v>
      </c>
      <c r="F91" s="6" t="n">
        <v>64.3118131316227</v>
      </c>
      <c r="G91" s="7" t="n">
        <f aca="false">Regresion!$B$4 + (Regresion!$B$5 * C91) + (Regresion!$B$6 * D91) + (Regresion!$B$7 * E91)</f>
        <v>62.2870266322621</v>
      </c>
      <c r="H91" s="7" t="n">
        <f aca="false">F91 - G91</f>
        <v>2.02478649936066</v>
      </c>
    </row>
    <row r="92" customFormat="false" ht="14.25" hidden="false" customHeight="false" outlineLevel="0" collapsed="false">
      <c r="A92" s="2" t="s">
        <v>101</v>
      </c>
      <c r="B92" s="3" t="s">
        <v>9</v>
      </c>
      <c r="C92" s="4" t="n">
        <v>158.296864963494</v>
      </c>
      <c r="D92" s="4" t="n">
        <v>68.1292595538916</v>
      </c>
      <c r="E92" s="5" t="n">
        <v>39.1230171200464</v>
      </c>
      <c r="F92" s="6" t="n">
        <v>44.5075916252168</v>
      </c>
      <c r="G92" s="7" t="n">
        <f aca="false">Regresion!$B$4 + (Regresion!$B$5 * C92) + (Regresion!$B$6 * D92) + (Regresion!$B$7 * E92)</f>
        <v>53.9403519243681</v>
      </c>
      <c r="H92" s="7" t="n">
        <f aca="false">F92 - G92</f>
        <v>-9.43276029915126</v>
      </c>
    </row>
    <row r="93" customFormat="false" ht="14.25" hidden="false" customHeight="false" outlineLevel="0" collapsed="false">
      <c r="A93" s="2" t="s">
        <v>102</v>
      </c>
      <c r="B93" s="3" t="s">
        <v>12</v>
      </c>
      <c r="C93" s="4" t="n">
        <v>894.423536156514</v>
      </c>
      <c r="D93" s="4" t="n">
        <v>10.66641639449</v>
      </c>
      <c r="E93" s="5" t="n">
        <v>38.0775235058926</v>
      </c>
      <c r="F93" s="6" t="n">
        <v>78.8490483015036</v>
      </c>
      <c r="G93" s="7" t="n">
        <f aca="false">Regresion!$B$4 + (Regresion!$B$5 * C93) + (Regresion!$B$6 * D93) + (Regresion!$B$7 * E93)</f>
        <v>88.3843103111206</v>
      </c>
      <c r="H93" s="7" t="n">
        <f aca="false">F93 - G93</f>
        <v>-9.53526200961696</v>
      </c>
    </row>
    <row r="94" customFormat="false" ht="14.25" hidden="false" customHeight="false" outlineLevel="0" collapsed="false">
      <c r="A94" s="2" t="s">
        <v>103</v>
      </c>
      <c r="B94" s="3" t="s">
        <v>12</v>
      </c>
      <c r="C94" s="4" t="n">
        <v>953.373460284953</v>
      </c>
      <c r="D94" s="4" t="n">
        <v>18.6477575517452</v>
      </c>
      <c r="E94" s="5" t="n">
        <v>37.9235171559048</v>
      </c>
      <c r="F94" s="6" t="n">
        <v>82.4760190688124</v>
      </c>
      <c r="G94" s="7" t="n">
        <f aca="false">Regresion!$B$4 + (Regresion!$B$5 * C94) + (Regresion!$B$6 * D94) + (Regresion!$B$7 * E94)</f>
        <v>87.3353665148133</v>
      </c>
      <c r="H94" s="7" t="n">
        <f aca="false">F94 - G94</f>
        <v>-4.85934744600085</v>
      </c>
    </row>
    <row r="95" customFormat="false" ht="14.25" hidden="false" customHeight="false" outlineLevel="0" collapsed="false">
      <c r="A95" s="2" t="s">
        <v>104</v>
      </c>
      <c r="B95" s="3" t="s">
        <v>17</v>
      </c>
      <c r="C95" s="4" t="n">
        <v>705.983724986175</v>
      </c>
      <c r="D95" s="4" t="n">
        <v>94.5510814182892</v>
      </c>
      <c r="E95" s="5" t="n">
        <v>40.641680402566</v>
      </c>
      <c r="F95" s="6" t="n">
        <v>74.1299444382433</v>
      </c>
      <c r="G95" s="7" t="n">
        <f aca="false">Regresion!$B$4 + (Regresion!$B$5 * C95) + (Regresion!$B$6 * D95) + (Regresion!$B$7 * E95)</f>
        <v>75.3366238703193</v>
      </c>
      <c r="H95" s="7" t="n">
        <f aca="false">F95 - G95</f>
        <v>-1.206679432076</v>
      </c>
    </row>
    <row r="96" customFormat="false" ht="14.25" hidden="false" customHeight="false" outlineLevel="0" collapsed="false">
      <c r="A96" s="2" t="s">
        <v>105</v>
      </c>
      <c r="B96" s="3" t="s">
        <v>17</v>
      </c>
      <c r="C96" s="4" t="n">
        <v>965.999303143656</v>
      </c>
      <c r="D96" s="4" t="n">
        <v>64.4621931449378</v>
      </c>
      <c r="E96" s="5" t="n">
        <v>40.2743423494854</v>
      </c>
      <c r="F96" s="6" t="n">
        <v>92.0483675862819</v>
      </c>
      <c r="G96" s="7" t="n">
        <f aca="false">Regresion!$B$4 + (Regresion!$B$5 * C96) + (Regresion!$B$6 * D96) + (Regresion!$B$7 * E96)</f>
        <v>90.1373933305562</v>
      </c>
      <c r="H96" s="7" t="n">
        <f aca="false">F96 - G96</f>
        <v>1.91097425572572</v>
      </c>
    </row>
    <row r="97" customFormat="false" ht="14.25" hidden="false" customHeight="false" outlineLevel="0" collapsed="false">
      <c r="A97" s="2" t="s">
        <v>106</v>
      </c>
      <c r="B97" s="3" t="s">
        <v>17</v>
      </c>
      <c r="C97" s="4" t="n">
        <v>622.306539491845</v>
      </c>
      <c r="D97" s="4" t="n">
        <v>2.94729631651285</v>
      </c>
      <c r="E97" s="5" t="n">
        <v>39.8683251976717</v>
      </c>
      <c r="F97" s="6" t="n">
        <v>100.608110853382</v>
      </c>
      <c r="G97" s="7" t="n">
        <f aca="false">Regresion!$B$4 + (Regresion!$B$5 * C97) + (Regresion!$B$6 * D97) + (Regresion!$B$7 * E97)</f>
        <v>92.1488653830865</v>
      </c>
      <c r="H97" s="7" t="n">
        <f aca="false">F97 - G97</f>
        <v>8.45924547029576</v>
      </c>
    </row>
    <row r="98" customFormat="false" ht="14.25" hidden="false" customHeight="false" outlineLevel="0" collapsed="false">
      <c r="A98" s="2" t="s">
        <v>107</v>
      </c>
      <c r="B98" s="3" t="s">
        <v>9</v>
      </c>
      <c r="C98" s="4" t="n">
        <v>658.188708433673</v>
      </c>
      <c r="D98" s="4" t="n">
        <v>12.4515689152013</v>
      </c>
      <c r="E98" s="5" t="n">
        <v>39.0359635388014</v>
      </c>
      <c r="F98" s="6" t="n">
        <v>90.5216915323556</v>
      </c>
      <c r="G98" s="7" t="n">
        <f aca="false">Regresion!$B$4 + (Regresion!$B$5 * C98) + (Regresion!$B$6 * D98) + (Regresion!$B$7 * E98)</f>
        <v>85.6685537722525</v>
      </c>
      <c r="H98" s="7" t="n">
        <f aca="false">F98 - G98</f>
        <v>4.85313776010311</v>
      </c>
    </row>
    <row r="99" customFormat="false" ht="14.25" hidden="false" customHeight="false" outlineLevel="0" collapsed="false">
      <c r="A99" s="2" t="s">
        <v>108</v>
      </c>
      <c r="B99" s="3" t="s">
        <v>12</v>
      </c>
      <c r="C99" s="4" t="n">
        <v>540.150862764602</v>
      </c>
      <c r="D99" s="4" t="n">
        <v>70.3406822181297</v>
      </c>
      <c r="E99" s="5" t="n">
        <v>38.3525535282055</v>
      </c>
      <c r="F99" s="6" t="n">
        <v>61.1536518595347</v>
      </c>
      <c r="G99" s="7" t="n">
        <f aca="false">Regresion!$B$4 + (Regresion!$B$5 * C99) + (Regresion!$B$6 * D99) + (Regresion!$B$7 * E99)</f>
        <v>61.8126922429332</v>
      </c>
      <c r="H99" s="7" t="n">
        <f aca="false">F99 - G99</f>
        <v>-0.659040383398491</v>
      </c>
    </row>
    <row r="100" customFormat="false" ht="14.25" hidden="false" customHeight="false" outlineLevel="0" collapsed="false">
      <c r="A100" s="2" t="s">
        <v>109</v>
      </c>
      <c r="B100" s="3" t="s">
        <v>12</v>
      </c>
      <c r="C100" s="4" t="n">
        <v>41.519717162678</v>
      </c>
      <c r="D100" s="4" t="n">
        <v>2.52134313616053</v>
      </c>
      <c r="E100" s="5" t="n">
        <v>38.3036674237462</v>
      </c>
      <c r="F100" s="6" t="n">
        <v>61.3272534511655</v>
      </c>
      <c r="G100" s="7" t="n">
        <f aca="false">Regresion!$B$4 + (Regresion!$B$5 * C100) + (Regresion!$B$6 * D100) + (Regresion!$B$7 * E100)</f>
        <v>62.3550692526813</v>
      </c>
      <c r="H100" s="7" t="n">
        <f aca="false">F100 - G100</f>
        <v>-1.02781580151572</v>
      </c>
    </row>
    <row r="101" customFormat="false" ht="14.25" hidden="false" customHeight="false" outlineLevel="0" collapsed="false">
      <c r="A101" s="2" t="s">
        <v>110</v>
      </c>
      <c r="B101" s="3" t="s">
        <v>12</v>
      </c>
      <c r="C101" s="4" t="n">
        <v>143.785369471698</v>
      </c>
      <c r="D101" s="4" t="n">
        <v>18.5632292960024</v>
      </c>
      <c r="E101" s="5" t="n">
        <v>38.5757044046773</v>
      </c>
      <c r="F101" s="6" t="n">
        <v>56.1060140925437</v>
      </c>
      <c r="G101" s="7" t="n">
        <f aca="false">Regresion!$B$4 + (Regresion!$B$5 * C101) + (Regresion!$B$6 * D101) + (Regresion!$B$7 * E101)</f>
        <v>63.3036078824405</v>
      </c>
      <c r="H101" s="7" t="n">
        <f aca="false">F101 - G101</f>
        <v>-7.19759378989677</v>
      </c>
    </row>
    <row r="102" customFormat="false" ht="14.25" hidden="false" customHeight="false" outlineLevel="0" collapsed="false">
      <c r="A102" s="2" t="s">
        <v>111</v>
      </c>
      <c r="B102" s="3" t="s">
        <v>9</v>
      </c>
      <c r="C102" s="4" t="n">
        <v>48.9721902515505</v>
      </c>
      <c r="D102" s="4" t="n">
        <v>58.5195803047584</v>
      </c>
      <c r="E102" s="5" t="n">
        <v>39.4427573276478</v>
      </c>
      <c r="F102" s="6" t="n">
        <v>54.276583432309</v>
      </c>
      <c r="G102" s="7" t="n">
        <f aca="false">Regresion!$B$4 + (Regresion!$B$5 * C102) + (Regresion!$B$6 * D102) + (Regresion!$B$7 * E102)</f>
        <v>54.7076640228482</v>
      </c>
      <c r="H102" s="7" t="n">
        <f aca="false">F102 - G102</f>
        <v>-0.431080590539203</v>
      </c>
    </row>
    <row r="103" customFormat="false" ht="14.25" hidden="false" customHeight="false" outlineLevel="0" collapsed="false">
      <c r="A103" s="2" t="s">
        <v>112</v>
      </c>
      <c r="B103" s="3" t="s">
        <v>17</v>
      </c>
      <c r="C103" s="4" t="n">
        <v>799.148909967088</v>
      </c>
      <c r="D103" s="4" t="n">
        <v>73.2652053623474</v>
      </c>
      <c r="E103" s="5" t="n">
        <v>39.9223281758302</v>
      </c>
      <c r="F103" s="6" t="n">
        <v>77.9918586402208</v>
      </c>
      <c r="G103" s="7" t="n">
        <f aca="false">Regresion!$B$4 + (Regresion!$B$5 * C103) + (Regresion!$B$6 * D103) + (Regresion!$B$7 * E103)</f>
        <v>79.794688319908</v>
      </c>
      <c r="H103" s="7" t="n">
        <f aca="false">F103 - G103</f>
        <v>-1.80282967968724</v>
      </c>
    </row>
    <row r="104" customFormat="false" ht="14.25" hidden="false" customHeight="false" outlineLevel="0" collapsed="false">
      <c r="A104" s="2" t="s">
        <v>113</v>
      </c>
      <c r="B104" s="3" t="s">
        <v>9</v>
      </c>
      <c r="C104" s="4" t="n">
        <v>399.801416534645</v>
      </c>
      <c r="D104" s="4" t="n">
        <v>69.1520097287679</v>
      </c>
      <c r="E104" s="5" t="n">
        <v>39.7645723924814</v>
      </c>
      <c r="F104" s="6" t="n">
        <v>68.0462220391958</v>
      </c>
      <c r="G104" s="7" t="n">
        <f aca="false">Regresion!$B$4 + (Regresion!$B$5 * C104) + (Regresion!$B$6 * D104) + (Regresion!$B$7 * E104)</f>
        <v>66.0464079012668</v>
      </c>
      <c r="H104" s="7" t="n">
        <f aca="false">F104 - G104</f>
        <v>1.99981413792909</v>
      </c>
    </row>
    <row r="105" customFormat="false" ht="14.25" hidden="false" customHeight="false" outlineLevel="0" collapsed="false">
      <c r="A105" s="2" t="s">
        <v>114</v>
      </c>
      <c r="B105" s="3" t="s">
        <v>12</v>
      </c>
      <c r="C105" s="4" t="n">
        <v>640.627657044232</v>
      </c>
      <c r="D105" s="4" t="n">
        <v>25.0997388744377</v>
      </c>
      <c r="E105" s="5" t="n">
        <v>38.6618083011432</v>
      </c>
      <c r="F105" s="6" t="n">
        <v>73.5525126175258</v>
      </c>
      <c r="G105" s="7" t="n">
        <f aca="false">Regresion!$B$4 + (Regresion!$B$5 * C105) + (Regresion!$B$6 * D105) + (Regresion!$B$7 * E105)</f>
        <v>79.3425448436827</v>
      </c>
      <c r="H105" s="7" t="n">
        <f aca="false">F105 - G105</f>
        <v>-5.79003222615684</v>
      </c>
    </row>
    <row r="106" customFormat="false" ht="14.25" hidden="false" customHeight="false" outlineLevel="0" collapsed="false">
      <c r="A106" s="2" t="s">
        <v>115</v>
      </c>
      <c r="B106" s="3" t="s">
        <v>17</v>
      </c>
      <c r="C106" s="4" t="n">
        <v>1135.38242766836</v>
      </c>
      <c r="D106" s="4" t="n">
        <v>75.3544597987962</v>
      </c>
      <c r="E106" s="5" t="n">
        <v>40.6191093139233</v>
      </c>
      <c r="F106" s="6" t="n">
        <v>98.6570306242778</v>
      </c>
      <c r="G106" s="7" t="n">
        <f aca="false">Regresion!$B$4 + (Regresion!$B$5 * C106) + (Regresion!$B$6 * D106) + (Regresion!$B$7 * E106)</f>
        <v>95.2484709436645</v>
      </c>
      <c r="H106" s="7" t="n">
        <f aca="false">F106 - G106</f>
        <v>3.40855968061329</v>
      </c>
    </row>
    <row r="107" customFormat="false" ht="14.25" hidden="false" customHeight="false" outlineLevel="0" collapsed="false">
      <c r="A107" s="2" t="s">
        <v>116</v>
      </c>
      <c r="B107" s="3" t="s">
        <v>17</v>
      </c>
      <c r="C107" s="4" t="n">
        <v>319.122364144605</v>
      </c>
      <c r="D107" s="4" t="n">
        <v>26.4366560121704</v>
      </c>
      <c r="E107" s="5" t="n">
        <v>39.9899010584177</v>
      </c>
      <c r="F107" s="6" t="n">
        <v>85.1558682080413</v>
      </c>
      <c r="G107" s="7" t="n">
        <f aca="false">Regresion!$B$4 + (Regresion!$B$5 * C107) + (Regresion!$B$6 * D107) + (Regresion!$B$7 * E107)</f>
        <v>76.0866281132906</v>
      </c>
      <c r="H107" s="7" t="n">
        <f aca="false">F107 - G107</f>
        <v>9.06924009475068</v>
      </c>
    </row>
    <row r="108" customFormat="false" ht="14.25" hidden="false" customHeight="false" outlineLevel="0" collapsed="false">
      <c r="A108" s="2" t="s">
        <v>117</v>
      </c>
      <c r="B108" s="3" t="s">
        <v>9</v>
      </c>
      <c r="C108" s="4" t="n">
        <v>518.874824564181</v>
      </c>
      <c r="D108" s="4" t="n">
        <v>35.5161689104046</v>
      </c>
      <c r="E108" s="5" t="n">
        <v>39.4576267522831</v>
      </c>
      <c r="F108" s="6" t="n">
        <v>76.0548932534363</v>
      </c>
      <c r="G108" s="7" t="n">
        <f aca="false">Regresion!$B$4 + (Regresion!$B$5 * C108) + (Regresion!$B$6 * D108) + (Regresion!$B$7 * E108)</f>
        <v>77.2785848117005</v>
      </c>
      <c r="H108" s="7" t="n">
        <f aca="false">F108 - G108</f>
        <v>-1.22369155826415</v>
      </c>
    </row>
    <row r="109" customFormat="false" ht="14.25" hidden="false" customHeight="false" outlineLevel="0" collapsed="false">
      <c r="A109" s="2" t="s">
        <v>118</v>
      </c>
      <c r="B109" s="3" t="s">
        <v>9</v>
      </c>
      <c r="C109" s="4" t="n">
        <v>946.88341179338</v>
      </c>
      <c r="D109" s="4" t="n">
        <v>78.8886147271565</v>
      </c>
      <c r="E109" s="5" t="n">
        <v>39.6239901640796</v>
      </c>
      <c r="F109" s="6" t="n">
        <v>84.4798786122751</v>
      </c>
      <c r="G109" s="7" t="n">
        <f aca="false">Regresion!$B$4 + (Regresion!$B$5 * C109) + (Regresion!$B$6 * D109) + (Regresion!$B$7 * E109)</f>
        <v>81.5619634537397</v>
      </c>
      <c r="H109" s="7" t="n">
        <f aca="false">F109 - G109</f>
        <v>2.91791515853546</v>
      </c>
    </row>
    <row r="110" customFormat="false" ht="14.25" hidden="false" customHeight="false" outlineLevel="0" collapsed="false">
      <c r="A110" s="2" t="s">
        <v>119</v>
      </c>
      <c r="B110" s="3" t="s">
        <v>9</v>
      </c>
      <c r="C110" s="4" t="n">
        <v>293.709725209612</v>
      </c>
      <c r="D110" s="4" t="n">
        <v>68.9121886018631</v>
      </c>
      <c r="E110" s="5" t="n">
        <v>39.0668401810406</v>
      </c>
      <c r="F110" s="6" t="n">
        <v>62.6287331892549</v>
      </c>
      <c r="G110" s="7" t="n">
        <f aca="false">Regresion!$B$4 + (Regresion!$B$5 * C110) + (Regresion!$B$6 * D110) + (Regresion!$B$7 * E110)</f>
        <v>58.0833874226491</v>
      </c>
      <c r="H110" s="7" t="n">
        <f aca="false">F110 - G110</f>
        <v>4.54534576660581</v>
      </c>
    </row>
    <row r="111" customFormat="false" ht="14.25" hidden="false" customHeight="false" outlineLevel="0" collapsed="false">
      <c r="A111" s="2" t="s">
        <v>120</v>
      </c>
      <c r="B111" s="3" t="s">
        <v>12</v>
      </c>
      <c r="C111" s="4" t="n">
        <v>105.455088187703</v>
      </c>
      <c r="D111" s="4" t="n">
        <v>89.4700112809003</v>
      </c>
      <c r="E111" s="5" t="n">
        <v>38.5684198695534</v>
      </c>
      <c r="F111" s="6" t="n">
        <v>40.7999179316895</v>
      </c>
      <c r="G111" s="7" t="n">
        <f aca="false">Regresion!$B$4 + (Regresion!$B$5 * C111) + (Regresion!$B$6 * D111) + (Regresion!$B$7 * E111)</f>
        <v>42.938096907768</v>
      </c>
      <c r="H111" s="7" t="n">
        <f aca="false">F111 - G111</f>
        <v>-2.13817897607846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8"/>
  </cols>
  <sheetData>
    <row r="1" customFormat="false" ht="15" hidden="false" customHeight="false" outlineLevel="0" collapsed="false">
      <c r="A1" s="8" t="s">
        <v>121</v>
      </c>
    </row>
    <row r="3" customFormat="false" ht="15" hidden="false" customHeight="false" outlineLevel="0" collapsed="false">
      <c r="A3" s="9" t="s">
        <v>122</v>
      </c>
      <c r="B3" s="9" t="s">
        <v>123</v>
      </c>
      <c r="C3" s="9" t="s">
        <v>124</v>
      </c>
      <c r="D3" s="9" t="s">
        <v>125</v>
      </c>
      <c r="E3" s="9" t="s">
        <v>126</v>
      </c>
    </row>
    <row r="4" customFormat="false" ht="15" hidden="false" customHeight="false" outlineLevel="0" collapsed="false">
      <c r="A4" s="0" t="s">
        <v>127</v>
      </c>
      <c r="B4" s="10" t="n">
        <f aca="false">INDEX(LINEST(Estaciones_Datos!$F$2:$F$111,Estaciones_Datos!$C$2:$E$111,TRUE(),TRUE()),1,4)</f>
        <v>-176.835045040122</v>
      </c>
      <c r="C4" s="10" t="n">
        <f aca="false">INDEX(LINEST(Estaciones_Datos!$F$2:$F$111,Estaciones_Datos!$C$2:$E$111,TRUE(),TRUE()),2,4)</f>
        <v>26.4152360798299</v>
      </c>
      <c r="D4" s="11" t="n">
        <f aca="false">B4/C4</f>
        <v>-6.69443364071048</v>
      </c>
      <c r="E4" s="12" t="n">
        <f aca="false">TDIST(ABS(D4),B12,2)</f>
        <v>1.06244558032383E-009</v>
      </c>
    </row>
    <row r="5" customFormat="false" ht="15" hidden="false" customHeight="false" outlineLevel="0" collapsed="false">
      <c r="A5" s="0" t="s">
        <v>128</v>
      </c>
      <c r="B5" s="10" t="n">
        <f aca="false">INDEX(LINEST(Estaciones_Datos!$F$2:$F$111,Estaciones_Datos!$C$2:$E$111,TRUE(),TRUE()),1,3)</f>
        <v>0.0347262703678643</v>
      </c>
      <c r="C5" s="10" t="n">
        <f aca="false">INDEX(LINEST(Estaciones_Datos!$F$2:$F$111,Estaciones_Datos!$C$2:$E$111,TRUE(),TRUE()),2,3)</f>
        <v>0.00150857140453687</v>
      </c>
      <c r="D5" s="11" t="n">
        <f aca="false">B5/C5</f>
        <v>23.0193083757446</v>
      </c>
      <c r="E5" s="12" t="n">
        <f aca="false">TDIST(ABS(D5),B12,2)</f>
        <v>4.88739671783577E-043</v>
      </c>
    </row>
    <row r="6" customFormat="false" ht="15" hidden="false" customHeight="false" outlineLevel="0" collapsed="false">
      <c r="A6" s="0" t="s">
        <v>129</v>
      </c>
      <c r="B6" s="10" t="n">
        <f aca="false">INDEX(LINEST(Estaciones_Datos!$F$2:$F$111,Estaciones_Datos!$C$2:$E$111,TRUE(),TRUE()),1,2)</f>
        <v>-0.267803723405867</v>
      </c>
      <c r="C6" s="10" t="n">
        <f aca="false">INDEX(LINEST(Estaciones_Datos!$F$2:$F$111,Estaciones_Datos!$C$2:$E$111,TRUE(),TRUE()),2,2)</f>
        <v>0.0184874702953374</v>
      </c>
      <c r="D6" s="11" t="n">
        <f aca="false">B6/C6</f>
        <v>-14.4856878268201</v>
      </c>
      <c r="E6" s="12" t="n">
        <f aca="false">TDIST(ABS(D6),B12,2)</f>
        <v>6.99602878485667E-027</v>
      </c>
    </row>
    <row r="7" customFormat="false" ht="15" hidden="false" customHeight="false" outlineLevel="0" collapsed="false">
      <c r="A7" s="0" t="s">
        <v>130</v>
      </c>
      <c r="B7" s="10" t="n">
        <f aca="false">INDEX(LINEST(Estaciones_Datos!$F$2:$F$111,Estaciones_Datos!$C$2:$E$111,TRUE(),TRUE()),1,1)</f>
        <v>6.22456100120203</v>
      </c>
      <c r="C7" s="10" t="n">
        <f aca="false">INDEX(LINEST(Estaciones_Datos!$F$2:$F$111,Estaciones_Datos!$C$2:$E$111,TRUE(),TRUE()),2,1)</f>
        <v>0.674178903102785</v>
      </c>
      <c r="D7" s="11" t="n">
        <f aca="false">B7/C7</f>
        <v>9.23280300311182</v>
      </c>
      <c r="E7" s="12" t="n">
        <f aca="false">TDIST(ABS(D7),B12,2)</f>
        <v>2.99113036199311E-015</v>
      </c>
    </row>
    <row r="9" customFormat="false" ht="15" hidden="false" customHeight="false" outlineLevel="0" collapsed="false">
      <c r="A9" s="13" t="s">
        <v>131</v>
      </c>
    </row>
    <row r="10" customFormat="false" ht="15" hidden="false" customHeight="false" outlineLevel="0" collapsed="false">
      <c r="A10" s="0" t="s">
        <v>132</v>
      </c>
      <c r="B10" s="12" t="n">
        <f aca="false">INDEX(LINEST(Estaciones_Datos!$F$2:$F$111,Estaciones_Datos!$C$2:$E$111,TRUE(),TRUE()),3,1)</f>
        <v>0.885822892085265</v>
      </c>
    </row>
    <row r="11" customFormat="false" ht="15" hidden="false" customHeight="false" outlineLevel="0" collapsed="false">
      <c r="A11" s="0" t="s">
        <v>133</v>
      </c>
      <c r="B11" s="11" t="n">
        <f aca="false">INDEX(LINEST(Estaciones_Datos!$F$2:$F$111,Estaciones_Datos!$C$2:$E$111,TRUE(),TRUE()),3,2)</f>
        <v>5.77339111260214</v>
      </c>
    </row>
    <row r="12" customFormat="false" ht="15" hidden="false" customHeight="false" outlineLevel="0" collapsed="false">
      <c r="A12" s="0" t="s">
        <v>134</v>
      </c>
      <c r="B12" s="14" t="n">
        <f aca="false">INDEX(LINEST(Estaciones_Datos!$F$2:$F$111,Estaciones_Datos!$C$2:$E$111,TRUE(),TRUE()),4,2)</f>
        <v>106</v>
      </c>
    </row>
    <row r="13" customFormat="false" ht="15" hidden="false" customHeight="false" outlineLevel="0" collapsed="false">
      <c r="A13" s="0" t="s">
        <v>135</v>
      </c>
      <c r="B13" s="11" t="n">
        <f aca="false">INDEX(LINEST(Estaciones_Datos!$F$2:$F$111,Estaciones_Datos!$C$2:$E$111,TRUE(),TRUE()),4,1)</f>
        <v>274.127415661285</v>
      </c>
    </row>
    <row r="14" customFormat="false" ht="15" hidden="false" customHeight="false" outlineLevel="0" collapsed="false">
      <c r="A14" s="0" t="s">
        <v>136</v>
      </c>
      <c r="B14" s="14" t="n">
        <f aca="false">COUNT(Estaciones_Datos!F2:F111)</f>
        <v>110</v>
      </c>
    </row>
    <row r="15" customFormat="false" ht="15" hidden="false" customHeight="false" outlineLevel="0" collapsed="false">
      <c r="A15" s="0" t="s">
        <v>137</v>
      </c>
      <c r="B15" s="10" t="n">
        <f aca="false">SUM(Estaciones_Datos!H2:H111)</f>
        <v>-2.52953213930596E-012</v>
      </c>
    </row>
    <row r="17" customFormat="false" ht="15" hidden="false" customHeight="false" outlineLevel="0" collapsed="false">
      <c r="A17" s="15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2026-10-22T16:27:13Z</dcterms:created>
  <dc:creator>openpyxl</dc:creator>
  <dc:description/>
  <dc:language>en-US</dc:language>
  <cp:lastModifiedBy>Lina contreras</cp:lastModifiedBy>
  <dcterms:modified xsi:type="dcterms:W3CDTF">2026-10-27T12:17:57Z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