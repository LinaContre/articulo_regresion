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8_{93A7770F-EA85-48C6-B4C5-50C0C4AAA2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staciones_Datos" sheetId="2" r:id="rId1"/>
  </sheets>
  <calcPr calcId="181029"/>
</workbook>
</file>

<file path=xl/calcChain.xml><?xml version="1.0" encoding="utf-8"?>
<calcChain xmlns="http://schemas.openxmlformats.org/spreadsheetml/2006/main">
  <c r="G111" i="2" l="1"/>
  <c r="H111" i="2" s="1"/>
  <c r="G110" i="2"/>
  <c r="H110" i="2" s="1"/>
  <c r="G109" i="2"/>
  <c r="H109" i="2" s="1"/>
  <c r="G108" i="2"/>
  <c r="H108" i="2" s="1"/>
  <c r="G107" i="2"/>
  <c r="H107" i="2" s="1"/>
  <c r="G106" i="2"/>
  <c r="H106" i="2" s="1"/>
  <c r="G105" i="2"/>
  <c r="H105" i="2" s="1"/>
  <c r="G104" i="2"/>
  <c r="H104" i="2" s="1"/>
  <c r="G103" i="2"/>
  <c r="H103" i="2" s="1"/>
  <c r="G102" i="2"/>
  <c r="H102" i="2" s="1"/>
  <c r="G101" i="2"/>
  <c r="H101" i="2" s="1"/>
  <c r="H100" i="2"/>
  <c r="G100" i="2"/>
  <c r="G99" i="2"/>
  <c r="H99" i="2" s="1"/>
  <c r="G98" i="2"/>
  <c r="H98" i="2" s="1"/>
  <c r="G97" i="2"/>
  <c r="H97" i="2" s="1"/>
  <c r="G96" i="2"/>
  <c r="H96" i="2" s="1"/>
  <c r="G95" i="2"/>
  <c r="H95" i="2" s="1"/>
  <c r="G94" i="2"/>
  <c r="H94" i="2" s="1"/>
  <c r="G93" i="2"/>
  <c r="H93" i="2" s="1"/>
  <c r="G92" i="2"/>
  <c r="H92" i="2" s="1"/>
  <c r="G91" i="2"/>
  <c r="H91" i="2" s="1"/>
  <c r="G90" i="2"/>
  <c r="H90" i="2" s="1"/>
  <c r="G89" i="2"/>
  <c r="H89" i="2" s="1"/>
  <c r="G88" i="2"/>
  <c r="H88" i="2" s="1"/>
  <c r="G87" i="2"/>
  <c r="H87" i="2" s="1"/>
  <c r="G86" i="2"/>
  <c r="H86" i="2" s="1"/>
  <c r="G85" i="2"/>
  <c r="H85" i="2" s="1"/>
  <c r="G84" i="2"/>
  <c r="H84" i="2" s="1"/>
  <c r="G83" i="2"/>
  <c r="H83" i="2" s="1"/>
  <c r="G82" i="2"/>
  <c r="H82" i="2" s="1"/>
  <c r="G81" i="2"/>
  <c r="H81" i="2" s="1"/>
  <c r="G80" i="2"/>
  <c r="H80" i="2" s="1"/>
  <c r="G79" i="2"/>
  <c r="H79" i="2" s="1"/>
  <c r="G78" i="2"/>
  <c r="H78" i="2" s="1"/>
  <c r="G77" i="2"/>
  <c r="H77" i="2" s="1"/>
  <c r="G76" i="2"/>
  <c r="H76" i="2" s="1"/>
  <c r="G75" i="2"/>
  <c r="H75" i="2" s="1"/>
  <c r="G74" i="2"/>
  <c r="H74" i="2" s="1"/>
  <c r="G73" i="2"/>
  <c r="H73" i="2" s="1"/>
  <c r="G72" i="2"/>
  <c r="H72" i="2" s="1"/>
  <c r="G71" i="2"/>
  <c r="H71" i="2" s="1"/>
  <c r="G70" i="2"/>
  <c r="H70" i="2" s="1"/>
  <c r="G69" i="2"/>
  <c r="H69" i="2" s="1"/>
  <c r="G68" i="2"/>
  <c r="H68" i="2" s="1"/>
  <c r="G67" i="2"/>
  <c r="H67" i="2" s="1"/>
  <c r="G66" i="2"/>
  <c r="H66" i="2" s="1"/>
  <c r="G65" i="2"/>
  <c r="H65" i="2" s="1"/>
  <c r="G64" i="2"/>
  <c r="H64" i="2" s="1"/>
  <c r="G63" i="2"/>
  <c r="H63" i="2" s="1"/>
  <c r="G62" i="2"/>
  <c r="H62" i="2" s="1"/>
  <c r="G61" i="2"/>
  <c r="H61" i="2" s="1"/>
  <c r="G60" i="2"/>
  <c r="H60" i="2" s="1"/>
  <c r="G59" i="2"/>
  <c r="H59" i="2" s="1"/>
  <c r="G58" i="2"/>
  <c r="H58" i="2" s="1"/>
  <c r="G57" i="2"/>
  <c r="H57" i="2" s="1"/>
  <c r="G56" i="2"/>
  <c r="H56" i="2" s="1"/>
  <c r="G55" i="2"/>
  <c r="H55" i="2" s="1"/>
  <c r="G54" i="2"/>
  <c r="H54" i="2" s="1"/>
  <c r="G53" i="2"/>
  <c r="H53" i="2" s="1"/>
  <c r="G52" i="2"/>
  <c r="H52" i="2" s="1"/>
  <c r="G51" i="2"/>
  <c r="H51" i="2" s="1"/>
  <c r="G50" i="2"/>
  <c r="H50" i="2" s="1"/>
  <c r="G49" i="2"/>
  <c r="H49" i="2" s="1"/>
  <c r="G48" i="2"/>
  <c r="H48" i="2" s="1"/>
  <c r="G47" i="2"/>
  <c r="H47" i="2" s="1"/>
  <c r="G46" i="2"/>
  <c r="H46" i="2" s="1"/>
  <c r="G45" i="2"/>
  <c r="H45" i="2" s="1"/>
  <c r="G44" i="2"/>
  <c r="H44" i="2" s="1"/>
  <c r="G43" i="2"/>
  <c r="H43" i="2" s="1"/>
  <c r="G42" i="2"/>
  <c r="H42" i="2" s="1"/>
  <c r="G41" i="2"/>
  <c r="H41" i="2" s="1"/>
  <c r="G40" i="2"/>
  <c r="H40" i="2" s="1"/>
  <c r="G39" i="2"/>
  <c r="H39" i="2" s="1"/>
  <c r="G38" i="2"/>
  <c r="H38" i="2" s="1"/>
  <c r="G37" i="2"/>
  <c r="H37" i="2" s="1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H30" i="2" s="1"/>
  <c r="G29" i="2"/>
  <c r="H29" i="2" s="1"/>
  <c r="G28" i="2"/>
  <c r="H28" i="2" s="1"/>
  <c r="G27" i="2"/>
  <c r="H27" i="2" s="1"/>
  <c r="G26" i="2"/>
  <c r="H26" i="2" s="1"/>
  <c r="G25" i="2"/>
  <c r="H25" i="2" s="1"/>
  <c r="G24" i="2"/>
  <c r="H24" i="2" s="1"/>
  <c r="G23" i="2"/>
  <c r="H23" i="2" s="1"/>
  <c r="G22" i="2"/>
  <c r="H22" i="2" s="1"/>
  <c r="G21" i="2"/>
  <c r="H21" i="2" s="1"/>
  <c r="G20" i="2"/>
  <c r="H20" i="2" s="1"/>
  <c r="G19" i="2"/>
  <c r="H19" i="2" s="1"/>
  <c r="G18" i="2"/>
  <c r="H18" i="2" s="1"/>
  <c r="G17" i="2"/>
  <c r="H17" i="2" s="1"/>
  <c r="G16" i="2"/>
  <c r="H16" i="2" s="1"/>
  <c r="G15" i="2"/>
  <c r="H15" i="2" s="1"/>
  <c r="G14" i="2"/>
  <c r="H14" i="2" s="1"/>
  <c r="G13" i="2"/>
  <c r="H13" i="2" s="1"/>
  <c r="G12" i="2"/>
  <c r="H12" i="2" s="1"/>
  <c r="G11" i="2"/>
  <c r="H11" i="2" s="1"/>
  <c r="G10" i="2"/>
  <c r="H10" i="2" s="1"/>
  <c r="G9" i="2"/>
  <c r="H9" i="2" s="1"/>
  <c r="G8" i="2"/>
  <c r="H8" i="2" s="1"/>
  <c r="G7" i="2"/>
  <c r="H7" i="2" s="1"/>
  <c r="G6" i="2"/>
  <c r="H6" i="2" s="1"/>
  <c r="G5" i="2"/>
  <c r="H5" i="2" s="1"/>
  <c r="G4" i="2"/>
  <c r="H4" i="2" s="1"/>
  <c r="G3" i="2"/>
  <c r="H3" i="2" s="1"/>
  <c r="G2" i="2"/>
  <c r="H2" i="2" s="1"/>
</calcChain>
</file>

<file path=xl/sharedStrings.xml><?xml version="1.0" encoding="utf-8"?>
<sst xmlns="http://schemas.openxmlformats.org/spreadsheetml/2006/main" count="228" uniqueCount="121">
  <si>
    <t>Altitud (m)</t>
  </si>
  <si>
    <t>Distancia al mar (km)</t>
  </si>
  <si>
    <t>Latitud (°N)</t>
  </si>
  <si>
    <t>ID Estación</t>
  </si>
  <si>
    <t>Provincia</t>
  </si>
  <si>
    <t>Precip. Observada (mm)</t>
  </si>
  <si>
    <t>Precip. Estimada (mm)</t>
  </si>
  <si>
    <t>Residuo (mm)</t>
  </si>
  <si>
    <t>EST-001</t>
  </si>
  <si>
    <t>Valencia</t>
  </si>
  <si>
    <t>EST-002</t>
  </si>
  <si>
    <t>EST-003</t>
  </si>
  <si>
    <t>Alicante</t>
  </si>
  <si>
    <t>EST-004</t>
  </si>
  <si>
    <t>EST-005</t>
  </si>
  <si>
    <t>EST-006</t>
  </si>
  <si>
    <t>EST-007</t>
  </si>
  <si>
    <t>Castellón</t>
  </si>
  <si>
    <t>EST-008</t>
  </si>
  <si>
    <t>EST-009</t>
  </si>
  <si>
    <t>EST-010</t>
  </si>
  <si>
    <t>EST-011</t>
  </si>
  <si>
    <t>EST-012</t>
  </si>
  <si>
    <t>EST-013</t>
  </si>
  <si>
    <t>EST-014</t>
  </si>
  <si>
    <t>EST-015</t>
  </si>
  <si>
    <t>EST-016</t>
  </si>
  <si>
    <t>EST-017</t>
  </si>
  <si>
    <t>EST-018</t>
  </si>
  <si>
    <t>EST-019</t>
  </si>
  <si>
    <t>EST-020</t>
  </si>
  <si>
    <t>EST-021</t>
  </si>
  <si>
    <t>EST-022</t>
  </si>
  <si>
    <t>EST-023</t>
  </si>
  <si>
    <t>EST-024</t>
  </si>
  <si>
    <t>EST-025</t>
  </si>
  <si>
    <t>EST-026</t>
  </si>
  <si>
    <t>EST-027</t>
  </si>
  <si>
    <t>EST-028</t>
  </si>
  <si>
    <t>EST-029</t>
  </si>
  <si>
    <t>EST-030</t>
  </si>
  <si>
    <t>EST-031</t>
  </si>
  <si>
    <t>EST-032</t>
  </si>
  <si>
    <t>EST-033</t>
  </si>
  <si>
    <t>EST-034</t>
  </si>
  <si>
    <t>EST-035</t>
  </si>
  <si>
    <t>EST-036</t>
  </si>
  <si>
    <t>EST-037</t>
  </si>
  <si>
    <t>EST-038</t>
  </si>
  <si>
    <t>EST-039</t>
  </si>
  <si>
    <t>EST-040</t>
  </si>
  <si>
    <t>EST-041</t>
  </si>
  <si>
    <t>EST-042</t>
  </si>
  <si>
    <t>EST-043</t>
  </si>
  <si>
    <t>EST-044</t>
  </si>
  <si>
    <t>EST-045</t>
  </si>
  <si>
    <t>EST-046</t>
  </si>
  <si>
    <t>EST-047</t>
  </si>
  <si>
    <t>EST-048</t>
  </si>
  <si>
    <t>EST-049</t>
  </si>
  <si>
    <t>EST-050</t>
  </si>
  <si>
    <t>EST-051</t>
  </si>
  <si>
    <t>EST-052</t>
  </si>
  <si>
    <t>EST-053</t>
  </si>
  <si>
    <t>EST-054</t>
  </si>
  <si>
    <t>EST-055</t>
  </si>
  <si>
    <t>EST-056</t>
  </si>
  <si>
    <t>EST-057</t>
  </si>
  <si>
    <t>EST-058</t>
  </si>
  <si>
    <t>EST-059</t>
  </si>
  <si>
    <t>EST-060</t>
  </si>
  <si>
    <t>EST-061</t>
  </si>
  <si>
    <t>EST-062</t>
  </si>
  <si>
    <t>EST-063</t>
  </si>
  <si>
    <t>EST-064</t>
  </si>
  <si>
    <t>EST-065</t>
  </si>
  <si>
    <t>EST-066</t>
  </si>
  <si>
    <t>EST-067</t>
  </si>
  <si>
    <t>EST-068</t>
  </si>
  <si>
    <t>EST-069</t>
  </si>
  <si>
    <t>EST-070</t>
  </si>
  <si>
    <t>EST-071</t>
  </si>
  <si>
    <t>EST-072</t>
  </si>
  <si>
    <t>EST-073</t>
  </si>
  <si>
    <t>EST-074</t>
  </si>
  <si>
    <t>EST-075</t>
  </si>
  <si>
    <t>EST-076</t>
  </si>
  <si>
    <t>EST-077</t>
  </si>
  <si>
    <t>EST-078</t>
  </si>
  <si>
    <t>EST-079</t>
  </si>
  <si>
    <t>EST-080</t>
  </si>
  <si>
    <t>EST-081</t>
  </si>
  <si>
    <t>EST-082</t>
  </si>
  <si>
    <t>EST-083</t>
  </si>
  <si>
    <t>EST-084</t>
  </si>
  <si>
    <t>EST-085</t>
  </si>
  <si>
    <t>EST-086</t>
  </si>
  <si>
    <t>EST-087</t>
  </si>
  <si>
    <t>EST-088</t>
  </si>
  <si>
    <t>EST-089</t>
  </si>
  <si>
    <t>EST-090</t>
  </si>
  <si>
    <t>EST-091</t>
  </si>
  <si>
    <t>EST-092</t>
  </si>
  <si>
    <t>EST-093</t>
  </si>
  <si>
    <t>EST-094</t>
  </si>
  <si>
    <t>EST-095</t>
  </si>
  <si>
    <t>EST-096</t>
  </si>
  <si>
    <t>EST-097</t>
  </si>
  <si>
    <t>EST-098</t>
  </si>
  <si>
    <t>EST-099</t>
  </si>
  <si>
    <t>EST-100</t>
  </si>
  <si>
    <t>EST-101</t>
  </si>
  <si>
    <t>EST-102</t>
  </si>
  <si>
    <t>EST-103</t>
  </si>
  <si>
    <t>EST-104</t>
  </si>
  <si>
    <t>EST-105</t>
  </si>
  <si>
    <t>EST-106</t>
  </si>
  <si>
    <t>EST-107</t>
  </si>
  <si>
    <t>EST-108</t>
  </si>
  <si>
    <t>EST-109</t>
  </si>
  <si>
    <t>EST-110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</si>
</sst>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#,##0.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DCE6F1"/>
        <bgColor rgb="FFDCE6F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3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5" fontId="2" fillId="4" borderId="1" xfId="0" applyNumberFormat="1" applyFont="1" applyFill="1" applyBorder="1" applyAlignment="1">
      <alignment horizontal="right" vertical="center"/>
    </xf>
    <xf numFmtId="164" fontId="2" fillId="4" borderId="1" xfId="0" applyNumberFormat="1" applyFont="1" applyFill="1" applyBorder="1" applyAlignment="1">
      <alignment horizontal="right" vertical="center"/>
    </xf>
    <xf numFmtId="2" fontId="2" fillId="4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tabSelected="1" workbookViewId="0">
      <selection sqref="A1:XFD1"/>
    </sheetView>
  </sheetViews>
  <sheetFormatPr baseColWidth="10" defaultColWidth="8.88671875" defaultRowHeight="14.4"/>
  <cols>
    <col min="1" max="1" width="77" customWidth="1"/>
    <col min="2" max="2" width="12" customWidth="1"/>
    <col min="3" max="3" width="21" customWidth="1"/>
    <col min="4" max="4" width="24" customWidth="1"/>
    <col min="5" max="5" width="21" customWidth="1"/>
    <col min="6" max="6" width="25" customWidth="1"/>
    <col min="7" max="7" width="128" customWidth="1"/>
    <col min="8" max="8" width="15" customWidth="1"/>
  </cols>
  <sheetData>
    <row r="1" spans="1:8">
      <c r="A1" s="1" t="s">
        <v>3</v>
      </c>
      <c r="B1" s="1" t="s">
        <v>4</v>
      </c>
      <c r="C1" s="1" t="s">
        <v>0</v>
      </c>
      <c r="D1" s="1" t="s">
        <v>1</v>
      </c>
      <c r="E1" s="1" t="s">
        <v>2</v>
      </c>
      <c r="F1" s="1" t="s">
        <v>5</v>
      </c>
      <c r="G1" s="1" t="s">
        <v>6</v>
      </c>
      <c r="H1" s="1" t="s">
        <v>7</v>
      </c>
    </row>
    <row r="2" spans="1:8">
      <c r="A2" s="2" t="s">
        <v>8</v>
      </c>
      <c r="B2" s="3" t="s">
        <v>9</v>
      </c>
      <c r="C2" s="4">
        <v>474.4297473707295</v>
      </c>
      <c r="D2" s="4">
        <v>31.84439965011811</v>
      </c>
      <c r="E2" s="5">
        <v>39.757077387671004</v>
      </c>
      <c r="F2" s="6">
        <v>86.137565857772358</v>
      </c>
      <c r="G2" s="7" t="e">
        <f>#REF! + (#REF! * C2) + (#REF! * D2) + (#REF! * E2)</f>
        <v>#REF!</v>
      </c>
      <c r="H2" s="7" t="e">
        <f t="shared" ref="H2:H33" si="0">F2 - G2</f>
        <v>#REF!</v>
      </c>
    </row>
    <row r="3" spans="1:8">
      <c r="A3" s="2" t="s">
        <v>10</v>
      </c>
      <c r="B3" s="3" t="s">
        <v>9</v>
      </c>
      <c r="C3" s="4">
        <v>1188.8857399482961</v>
      </c>
      <c r="D3" s="4">
        <v>18.605792587162451</v>
      </c>
      <c r="E3" s="5">
        <v>39.498094949672868</v>
      </c>
      <c r="F3" s="6">
        <v>100.1708819769734</v>
      </c>
      <c r="G3" s="7" t="e">
        <f>#REF! + (#REF! * C3) + (#REF! * D3) + (#REF! * E3)</f>
        <v>#REF!</v>
      </c>
      <c r="H3" s="7" t="e">
        <f t="shared" si="0"/>
        <v>#REF!</v>
      </c>
    </row>
    <row r="4" spans="1:8">
      <c r="A4" s="2" t="s">
        <v>11</v>
      </c>
      <c r="B4" s="3" t="s">
        <v>12</v>
      </c>
      <c r="C4" s="4">
        <v>917.6724878461423</v>
      </c>
      <c r="D4" s="4">
        <v>97.758858191285029</v>
      </c>
      <c r="E4" s="5">
        <v>38.121656826701468</v>
      </c>
      <c r="F4" s="6">
        <v>70.065393740139598</v>
      </c>
      <c r="G4" s="7" t="e">
        <f>#REF! + (#REF! * C4) + (#REF! * D4) + (#REF! * E4)</f>
        <v>#REF!</v>
      </c>
      <c r="H4" s="7" t="e">
        <f t="shared" si="0"/>
        <v>#REF!</v>
      </c>
    </row>
    <row r="5" spans="1:8">
      <c r="A5" s="2" t="s">
        <v>13</v>
      </c>
      <c r="B5" s="3" t="s">
        <v>9</v>
      </c>
      <c r="C5" s="4">
        <v>752.33652040432537</v>
      </c>
      <c r="D5" s="4">
        <v>85.236399095134942</v>
      </c>
      <c r="E5" s="5">
        <v>38.916375828872361</v>
      </c>
      <c r="F5" s="6">
        <v>74.278550864232145</v>
      </c>
      <c r="G5" s="7" t="e">
        <f>#REF! + (#REF! * C5) + (#REF! * D5) + (#REF! * E5)</f>
        <v>#REF!</v>
      </c>
      <c r="H5" s="7" t="e">
        <f t="shared" si="0"/>
        <v>#REF!</v>
      </c>
    </row>
    <row r="6" spans="1:8">
      <c r="A6" s="2" t="s">
        <v>14</v>
      </c>
      <c r="B6" s="3" t="s">
        <v>12</v>
      </c>
      <c r="C6" s="4">
        <v>203.46311414862129</v>
      </c>
      <c r="D6" s="4">
        <v>67.24058692057362</v>
      </c>
      <c r="E6" s="5">
        <v>38.619086866277001</v>
      </c>
      <c r="F6" s="6">
        <v>46.71215668855352</v>
      </c>
      <c r="G6" s="7" t="e">
        <f>#REF! + (#REF! * C6) + (#REF! * D6) + (#REF! * E6)</f>
        <v>#REF!</v>
      </c>
      <c r="H6" s="7" t="e">
        <f t="shared" si="0"/>
        <v>#REF!</v>
      </c>
    </row>
    <row r="7" spans="1:8">
      <c r="A7" s="2" t="s">
        <v>15</v>
      </c>
      <c r="B7" s="3" t="s">
        <v>12</v>
      </c>
      <c r="C7" s="4">
        <v>203.43320521689131</v>
      </c>
      <c r="D7" s="4">
        <v>91.760440789334922</v>
      </c>
      <c r="E7" s="5">
        <v>38.557569965799352</v>
      </c>
      <c r="F7" s="6">
        <v>45.819741490233362</v>
      </c>
      <c r="G7" s="7" t="e">
        <f>#REF! + (#REF! * C7) + (#REF! * D7) + (#REF! * E7)</f>
        <v>#REF!</v>
      </c>
      <c r="H7" s="7" t="e">
        <f t="shared" si="0"/>
        <v>#REF!</v>
      </c>
    </row>
    <row r="8" spans="1:8">
      <c r="A8" s="2" t="s">
        <v>16</v>
      </c>
      <c r="B8" s="3" t="s">
        <v>17</v>
      </c>
      <c r="C8" s="4">
        <v>82.023679088567334</v>
      </c>
      <c r="D8" s="4">
        <v>84.778223920608795</v>
      </c>
      <c r="E8" s="5">
        <v>40.671730608782092</v>
      </c>
      <c r="F8" s="6">
        <v>35.183411037075317</v>
      </c>
      <c r="G8" s="7" t="e">
        <f>#REF! + (#REF! * C8) + (#REF! * D8) + (#REF! * E8)</f>
        <v>#REF!</v>
      </c>
      <c r="H8" s="7" t="e">
        <f t="shared" si="0"/>
        <v>#REF!</v>
      </c>
    </row>
    <row r="9" spans="1:8">
      <c r="A9" s="2" t="s">
        <v>18</v>
      </c>
      <c r="B9" s="3" t="s">
        <v>9</v>
      </c>
      <c r="C9" s="4">
        <v>1084.0584207609199</v>
      </c>
      <c r="D9" s="4">
        <v>21.216716065261689</v>
      </c>
      <c r="E9" s="5">
        <v>38.989983401533607</v>
      </c>
      <c r="F9" s="6">
        <v>90.759882941113176</v>
      </c>
      <c r="G9" s="7" t="e">
        <f>#REF! + (#REF! * C9) + (#REF! * D9) + (#REF! * E9)</f>
        <v>#REF!</v>
      </c>
      <c r="H9" s="7" t="e">
        <f t="shared" si="0"/>
        <v>#REF!</v>
      </c>
    </row>
    <row r="10" spans="1:8">
      <c r="A10" s="2" t="s">
        <v>19</v>
      </c>
      <c r="B10" s="3" t="s">
        <v>17</v>
      </c>
      <c r="C10" s="4">
        <v>755.38261456157886</v>
      </c>
      <c r="D10" s="4">
        <v>93.933576844467709</v>
      </c>
      <c r="E10" s="5">
        <v>40.436935010013627</v>
      </c>
      <c r="F10" s="6">
        <v>74.549287642304591</v>
      </c>
      <c r="G10" s="7" t="e">
        <f>#REF! + (#REF! * C10) + (#REF! * D10) + (#REF! * E10)</f>
        <v>#REF!</v>
      </c>
      <c r="H10" s="7" t="e">
        <f t="shared" si="0"/>
        <v>#REF!</v>
      </c>
    </row>
    <row r="11" spans="1:8">
      <c r="A11" s="2" t="s">
        <v>20</v>
      </c>
      <c r="B11" s="3" t="s">
        <v>9</v>
      </c>
      <c r="C11" s="4">
        <v>888.00999646709636</v>
      </c>
      <c r="D11" s="4">
        <v>57.552250917312023</v>
      </c>
      <c r="E11" s="5">
        <v>39.680302015392073</v>
      </c>
      <c r="F11" s="6">
        <v>77.389973287389381</v>
      </c>
      <c r="G11" s="7" t="e">
        <f>#REF! + (#REF! * C11) + (#REF! * D11) + (#REF! * E11)</f>
        <v>#REF!</v>
      </c>
      <c r="H11" s="7" t="e">
        <f t="shared" si="0"/>
        <v>#REF!</v>
      </c>
    </row>
    <row r="12" spans="1:8">
      <c r="A12" s="2" t="s">
        <v>21</v>
      </c>
      <c r="B12" s="3" t="s">
        <v>17</v>
      </c>
      <c r="C12" s="4">
        <v>35.524772926795038</v>
      </c>
      <c r="D12" s="4">
        <v>85.166335981898442</v>
      </c>
      <c r="E12" s="5">
        <v>40.154952780270783</v>
      </c>
      <c r="F12" s="6">
        <v>62.064684310070398</v>
      </c>
      <c r="G12" s="7" t="e">
        <f>#REF! + (#REF! * C12) + (#REF! * D12) + (#REF! * E12)</f>
        <v>#REF!</v>
      </c>
      <c r="H12" s="7" t="e">
        <f t="shared" si="0"/>
        <v>#REF!</v>
      </c>
    </row>
    <row r="13" spans="1:8">
      <c r="A13" s="2" t="s">
        <v>22</v>
      </c>
      <c r="B13" s="3" t="s">
        <v>9</v>
      </c>
      <c r="C13" s="4">
        <v>1212.688216680873</v>
      </c>
      <c r="D13" s="4">
        <v>94.297403892119803</v>
      </c>
      <c r="E13" s="5">
        <v>39.307647570005059</v>
      </c>
      <c r="F13" s="6">
        <v>76.150781439124643</v>
      </c>
      <c r="G13" s="7" t="e">
        <f>#REF! + (#REF! * C13) + (#REF! * D13) + (#REF! * E13)</f>
        <v>#REF!</v>
      </c>
      <c r="H13" s="7" t="e">
        <f t="shared" si="0"/>
        <v>#REF!</v>
      </c>
    </row>
    <row r="14" spans="1:8">
      <c r="A14" s="2" t="s">
        <v>23</v>
      </c>
      <c r="B14" s="3" t="s">
        <v>9</v>
      </c>
      <c r="C14" s="4">
        <v>1042.228874592523</v>
      </c>
      <c r="D14" s="4">
        <v>34.754357922101981</v>
      </c>
      <c r="E14" s="5">
        <v>39.523021265416439</v>
      </c>
      <c r="F14" s="6">
        <v>92.851019099448493</v>
      </c>
      <c r="G14" s="7" t="e">
        <f>#REF! + (#REF! * C14) + (#REF! * D14) + (#REF! * E14)</f>
        <v>#REF!</v>
      </c>
      <c r="H14" s="7" t="e">
        <f t="shared" si="0"/>
        <v>#REF!</v>
      </c>
    </row>
    <row r="15" spans="1:8">
      <c r="A15" s="2" t="s">
        <v>24</v>
      </c>
      <c r="B15" s="3" t="s">
        <v>9</v>
      </c>
      <c r="C15" s="4">
        <v>273.30049724106237</v>
      </c>
      <c r="D15" s="4">
        <v>13.33534822635071</v>
      </c>
      <c r="E15" s="5">
        <v>39.278301312074703</v>
      </c>
      <c r="F15" s="6">
        <v>73.503646060810198</v>
      </c>
      <c r="G15" s="7" t="e">
        <f>#REF! + (#REF! * C15) + (#REF! * D15) + (#REF! * E15)</f>
        <v>#REF!</v>
      </c>
      <c r="H15" s="7" t="e">
        <f t="shared" si="0"/>
        <v>#REF!</v>
      </c>
    </row>
    <row r="16" spans="1:8">
      <c r="A16" s="2" t="s">
        <v>25</v>
      </c>
      <c r="B16" s="3" t="s">
        <v>12</v>
      </c>
      <c r="C16" s="4">
        <v>235.4629593368048</v>
      </c>
      <c r="D16" s="4">
        <v>25.477321741819988</v>
      </c>
      <c r="E16" s="5">
        <v>38.416204664614327</v>
      </c>
      <c r="F16" s="6">
        <v>72.523509798173905</v>
      </c>
      <c r="G16" s="7" t="e">
        <f>#REF! + (#REF! * C16) + (#REF! * D16) + (#REF! * E16)</f>
        <v>#REF!</v>
      </c>
      <c r="H16" s="7" t="e">
        <f t="shared" si="0"/>
        <v>#REF!</v>
      </c>
    </row>
    <row r="17" spans="1:8">
      <c r="A17" s="2" t="s">
        <v>26</v>
      </c>
      <c r="B17" s="3" t="s">
        <v>17</v>
      </c>
      <c r="C17" s="4">
        <v>237.4215922182579</v>
      </c>
      <c r="D17" s="4">
        <v>45.9921022285044</v>
      </c>
      <c r="E17" s="5">
        <v>39.945111134258369</v>
      </c>
      <c r="F17" s="6">
        <v>57.81012067470013</v>
      </c>
      <c r="G17" s="7" t="e">
        <f>#REF! + (#REF! * C17) + (#REF! * D17) + (#REF! * E17)</f>
        <v>#REF!</v>
      </c>
      <c r="H17" s="7" t="e">
        <f t="shared" si="0"/>
        <v>#REF!</v>
      </c>
    </row>
    <row r="18" spans="1:8">
      <c r="A18" s="2" t="s">
        <v>27</v>
      </c>
      <c r="B18" s="3" t="s">
        <v>12</v>
      </c>
      <c r="C18" s="4">
        <v>387.26038126982678</v>
      </c>
      <c r="D18" s="4">
        <v>86.255520890016797</v>
      </c>
      <c r="E18" s="5">
        <v>38.664239851078477</v>
      </c>
      <c r="F18" s="6">
        <v>62.236758543725571</v>
      </c>
      <c r="G18" s="7" t="e">
        <f>#REF! + (#REF! * C18) + (#REF! * D18) + (#REF! * E18)</f>
        <v>#REF!</v>
      </c>
      <c r="H18" s="7" t="e">
        <f t="shared" si="0"/>
        <v>#REF!</v>
      </c>
    </row>
    <row r="19" spans="1:8">
      <c r="A19" s="2" t="s">
        <v>28</v>
      </c>
      <c r="B19" s="3" t="s">
        <v>12</v>
      </c>
      <c r="C19" s="4">
        <v>660.69797522397494</v>
      </c>
      <c r="D19" s="4">
        <v>90.655250075403373</v>
      </c>
      <c r="E19" s="5">
        <v>37.920516302651222</v>
      </c>
      <c r="F19" s="6">
        <v>58.819013091981873</v>
      </c>
      <c r="G19" s="7" t="e">
        <f>#REF! + (#REF! * C19) + (#REF! * D19) + (#REF! * E19)</f>
        <v>#REF!</v>
      </c>
      <c r="H19" s="7" t="e">
        <f t="shared" si="0"/>
        <v>#REF!</v>
      </c>
    </row>
    <row r="20" spans="1:8">
      <c r="A20" s="2" t="s">
        <v>29</v>
      </c>
      <c r="B20" s="3" t="s">
        <v>9</v>
      </c>
      <c r="C20" s="4">
        <v>545.61182311622349</v>
      </c>
      <c r="D20" s="4">
        <v>2.7160694447126419</v>
      </c>
      <c r="E20" s="5">
        <v>39.721869658130792</v>
      </c>
      <c r="F20" s="6">
        <v>81.135172500592049</v>
      </c>
      <c r="G20" s="7" t="e">
        <f>#REF! + (#REF! * C20) + (#REF! * D20) + (#REF! * E20)</f>
        <v>#REF!</v>
      </c>
      <c r="H20" s="7" t="e">
        <f t="shared" si="0"/>
        <v>#REF!</v>
      </c>
    </row>
    <row r="21" spans="1:8">
      <c r="A21" s="2" t="s">
        <v>30</v>
      </c>
      <c r="B21" s="3" t="s">
        <v>12</v>
      </c>
      <c r="C21" s="4">
        <v>371.12413384557198</v>
      </c>
      <c r="D21" s="4">
        <v>54.606972165489267</v>
      </c>
      <c r="E21" s="5">
        <v>38.363620970280436</v>
      </c>
      <c r="F21" s="6">
        <v>63.285245492550729</v>
      </c>
      <c r="G21" s="7" t="e">
        <f>#REF! + (#REF! * C21) + (#REF! * D21) + (#REF! * E21)</f>
        <v>#REF!</v>
      </c>
      <c r="H21" s="7" t="e">
        <f t="shared" si="0"/>
        <v>#REF!</v>
      </c>
    </row>
    <row r="22" spans="1:8">
      <c r="A22" s="2" t="s">
        <v>31</v>
      </c>
      <c r="B22" s="3" t="s">
        <v>17</v>
      </c>
      <c r="C22" s="4">
        <v>768.69758945575052</v>
      </c>
      <c r="D22" s="4">
        <v>44.993333324324233</v>
      </c>
      <c r="E22" s="5">
        <v>40.577329894623453</v>
      </c>
      <c r="F22" s="6">
        <v>91.089283798800324</v>
      </c>
      <c r="G22" s="7" t="e">
        <f>#REF! + (#REF! * C22) + (#REF! * D22) + (#REF! * E22)</f>
        <v>#REF!</v>
      </c>
      <c r="H22" s="7" t="e">
        <f t="shared" si="0"/>
        <v>#REF!</v>
      </c>
    </row>
    <row r="23" spans="1:8">
      <c r="A23" s="2" t="s">
        <v>32</v>
      </c>
      <c r="B23" s="3" t="s">
        <v>17</v>
      </c>
      <c r="C23" s="4">
        <v>182.9723872085319</v>
      </c>
      <c r="D23" s="4">
        <v>24.877104478485219</v>
      </c>
      <c r="E23" s="5">
        <v>40.616392873307497</v>
      </c>
      <c r="F23" s="6">
        <v>70.624156594560802</v>
      </c>
      <c r="G23" s="7" t="e">
        <f>#REF! + (#REF! * C23) + (#REF! * D23) + (#REF! * E23)</f>
        <v>#REF!</v>
      </c>
      <c r="H23" s="7" t="e">
        <f t="shared" si="0"/>
        <v>#REF!</v>
      </c>
    </row>
    <row r="24" spans="1:8">
      <c r="A24" s="2" t="s">
        <v>33</v>
      </c>
      <c r="B24" s="3" t="s">
        <v>17</v>
      </c>
      <c r="C24" s="4">
        <v>372.25936418367053</v>
      </c>
      <c r="D24" s="4">
        <v>14.34613283536933</v>
      </c>
      <c r="E24" s="5">
        <v>40.503106731639299</v>
      </c>
      <c r="F24" s="6">
        <v>83.598193174193113</v>
      </c>
      <c r="G24" s="7" t="e">
        <f>#REF! + (#REF! * C24) + (#REF! * D24) + (#REF! * E24)</f>
        <v>#REF!</v>
      </c>
      <c r="H24" s="7" t="e">
        <f t="shared" si="0"/>
        <v>#REF!</v>
      </c>
    </row>
    <row r="25" spans="1:8">
      <c r="A25" s="2" t="s">
        <v>34</v>
      </c>
      <c r="B25" s="3" t="s">
        <v>9</v>
      </c>
      <c r="C25" s="4">
        <v>464.28868568417772</v>
      </c>
      <c r="D25" s="4">
        <v>36.774362654573679</v>
      </c>
      <c r="E25" s="5">
        <v>38.923460230740787</v>
      </c>
      <c r="F25" s="6">
        <v>68.853826068392195</v>
      </c>
      <c r="G25" s="7" t="e">
        <f>#REF! + (#REF! * C25) + (#REF! * D25) + (#REF! * E25)</f>
        <v>#REF!</v>
      </c>
      <c r="H25" s="7" t="e">
        <f t="shared" si="0"/>
        <v>#REF!</v>
      </c>
    </row>
    <row r="26" spans="1:8">
      <c r="A26" s="2" t="s">
        <v>35</v>
      </c>
      <c r="B26" s="3" t="s">
        <v>12</v>
      </c>
      <c r="C26" s="4">
        <v>575.52678042912453</v>
      </c>
      <c r="D26" s="4">
        <v>99.119699502989477</v>
      </c>
      <c r="E26" s="5">
        <v>37.894824187933708</v>
      </c>
      <c r="F26" s="6">
        <v>54.220363038649943</v>
      </c>
      <c r="G26" s="7" t="e">
        <f>#REF! + (#REF! * C26) + (#REF! * D26) + (#REF! * E26)</f>
        <v>#REF!</v>
      </c>
      <c r="H26" s="7" t="e">
        <f t="shared" si="0"/>
        <v>#REF!</v>
      </c>
    </row>
    <row r="27" spans="1:8">
      <c r="A27" s="2" t="s">
        <v>36</v>
      </c>
      <c r="B27" s="3" t="s">
        <v>17</v>
      </c>
      <c r="C27" s="4">
        <v>983.6181921273369</v>
      </c>
      <c r="D27" s="4">
        <v>35.289901998137793</v>
      </c>
      <c r="E27" s="5">
        <v>40.542123831504412</v>
      </c>
      <c r="F27" s="6">
        <v>103.8733931162167</v>
      </c>
      <c r="G27" s="7" t="e">
        <f>#REF! + (#REF! * C27) + (#REF! * D27) + (#REF! * E27)</f>
        <v>#REF!</v>
      </c>
      <c r="H27" s="7" t="e">
        <f t="shared" si="0"/>
        <v>#REF!</v>
      </c>
    </row>
    <row r="28" spans="1:8">
      <c r="A28" s="2" t="s">
        <v>37</v>
      </c>
      <c r="B28" s="3" t="s">
        <v>9</v>
      </c>
      <c r="C28" s="4">
        <v>257.59548987636612</v>
      </c>
      <c r="D28" s="4">
        <v>55.435434039566708</v>
      </c>
      <c r="E28" s="5">
        <v>39.091734030120207</v>
      </c>
      <c r="F28" s="6">
        <v>70.720140298672831</v>
      </c>
      <c r="G28" s="7" t="e">
        <f>#REF! + (#REF! * C28) + (#REF! * D28) + (#REF! * E28)</f>
        <v>#REF!</v>
      </c>
      <c r="H28" s="7" t="e">
        <f t="shared" si="0"/>
        <v>#REF!</v>
      </c>
    </row>
    <row r="29" spans="1:8">
      <c r="A29" s="2" t="s">
        <v>38</v>
      </c>
      <c r="B29" s="3" t="s">
        <v>17</v>
      </c>
      <c r="C29" s="4">
        <v>647.65070363287839</v>
      </c>
      <c r="D29" s="4">
        <v>74.410952766203323</v>
      </c>
      <c r="E29" s="5">
        <v>40.65329897522664</v>
      </c>
      <c r="F29" s="6">
        <v>70.556265455943986</v>
      </c>
      <c r="G29" s="7" t="e">
        <f>#REF! + (#REF! * C29) + (#REF! * D29) + (#REF! * E29)</f>
        <v>#REF!</v>
      </c>
      <c r="H29" s="7" t="e">
        <f t="shared" si="0"/>
        <v>#REF!</v>
      </c>
    </row>
    <row r="30" spans="1:8">
      <c r="A30" s="2" t="s">
        <v>39</v>
      </c>
      <c r="B30" s="3" t="s">
        <v>17</v>
      </c>
      <c r="C30" s="4">
        <v>744.59406538893268</v>
      </c>
      <c r="D30" s="4">
        <v>39.45384904506728</v>
      </c>
      <c r="E30" s="5">
        <v>40.644497933558831</v>
      </c>
      <c r="F30" s="6">
        <v>104.6054618626461</v>
      </c>
      <c r="G30" s="7" t="e">
        <f>#REF! + (#REF! * C30) + (#REF! * D30) + (#REF! * E30)</f>
        <v>#REF!</v>
      </c>
      <c r="H30" s="7" t="e">
        <f t="shared" si="0"/>
        <v>#REF!</v>
      </c>
    </row>
    <row r="31" spans="1:8">
      <c r="A31" s="2" t="s">
        <v>40</v>
      </c>
      <c r="B31" s="3" t="s">
        <v>17</v>
      </c>
      <c r="C31" s="4">
        <v>67.598511772797181</v>
      </c>
      <c r="D31" s="4">
        <v>102.09355452025891</v>
      </c>
      <c r="E31" s="5">
        <v>40.323727420855342</v>
      </c>
      <c r="F31" s="6">
        <v>36.637690039327723</v>
      </c>
      <c r="G31" s="7" t="e">
        <f>#REF! + (#REF! * C31) + (#REF! * D31) + (#REF! * E31)</f>
        <v>#REF!</v>
      </c>
      <c r="H31" s="7" t="e">
        <f t="shared" si="0"/>
        <v>#REF!</v>
      </c>
    </row>
    <row r="32" spans="1:8">
      <c r="A32" s="2" t="s">
        <v>41</v>
      </c>
      <c r="B32" s="3" t="s">
        <v>9</v>
      </c>
      <c r="C32" s="4">
        <v>763.35561635778356</v>
      </c>
      <c r="D32" s="4">
        <v>101.1320713790375</v>
      </c>
      <c r="E32" s="5">
        <v>38.703901787001797</v>
      </c>
      <c r="F32" s="6">
        <v>63.386030010630449</v>
      </c>
      <c r="G32" s="7" t="e">
        <f>#REF! + (#REF! * C32) + (#REF! * D32) + (#REF! * E32)</f>
        <v>#REF!</v>
      </c>
      <c r="H32" s="7" t="e">
        <f t="shared" si="0"/>
        <v>#REF!</v>
      </c>
    </row>
    <row r="33" spans="1:8">
      <c r="A33" s="2" t="s">
        <v>42</v>
      </c>
      <c r="B33" s="3" t="s">
        <v>9</v>
      </c>
      <c r="C33" s="4">
        <v>221.4499133722415</v>
      </c>
      <c r="D33" s="4">
        <v>27.933576470012511</v>
      </c>
      <c r="E33" s="5">
        <v>38.966783412945581</v>
      </c>
      <c r="F33" s="6">
        <v>69.138555764588318</v>
      </c>
      <c r="G33" s="7" t="e">
        <f>#REF! + (#REF! * C33) + (#REF! * D33) + (#REF! * E33)</f>
        <v>#REF!</v>
      </c>
      <c r="H33" s="7" t="e">
        <f t="shared" si="0"/>
        <v>#REF!</v>
      </c>
    </row>
    <row r="34" spans="1:8">
      <c r="A34" s="2" t="s">
        <v>43</v>
      </c>
      <c r="B34" s="3" t="s">
        <v>17</v>
      </c>
      <c r="C34" s="4">
        <v>90.663975301746603</v>
      </c>
      <c r="D34" s="4">
        <v>53.216596106915702</v>
      </c>
      <c r="E34" s="5">
        <v>40.318296347398878</v>
      </c>
      <c r="F34" s="6">
        <v>64.217730337693354</v>
      </c>
      <c r="G34" s="7" t="e">
        <f>#REF! + (#REF! * C34) + (#REF! * D34) + (#REF! * E34)</f>
        <v>#REF!</v>
      </c>
      <c r="H34" s="7" t="e">
        <f t="shared" ref="H34:H65" si="1">F34 - G34</f>
        <v>#REF!</v>
      </c>
    </row>
    <row r="35" spans="1:8">
      <c r="A35" s="2" t="s">
        <v>44</v>
      </c>
      <c r="B35" s="3" t="s">
        <v>9</v>
      </c>
      <c r="C35" s="4">
        <v>1186.618066194133</v>
      </c>
      <c r="D35" s="4">
        <v>32.990465911127266</v>
      </c>
      <c r="E35" s="5">
        <v>38.769073814953209</v>
      </c>
      <c r="F35" s="6">
        <v>92.699304631755552</v>
      </c>
      <c r="G35" s="7" t="e">
        <f>#REF! + (#REF! * C35) + (#REF! * D35) + (#REF! * E35)</f>
        <v>#REF!</v>
      </c>
      <c r="H35" s="7" t="e">
        <f t="shared" si="1"/>
        <v>#REF!</v>
      </c>
    </row>
    <row r="36" spans="1:8">
      <c r="A36" s="2" t="s">
        <v>45</v>
      </c>
      <c r="B36" s="3" t="s">
        <v>12</v>
      </c>
      <c r="C36" s="4">
        <v>1207.3837210124541</v>
      </c>
      <c r="D36" s="4">
        <v>31.33857092087916</v>
      </c>
      <c r="E36" s="5">
        <v>38.341528965389671</v>
      </c>
      <c r="F36" s="6">
        <v>94.000012259534657</v>
      </c>
      <c r="G36" s="7" t="e">
        <f>#REF! + (#REF! * C36) + (#REF! * D36) + (#REF! * E36)</f>
        <v>#REF!</v>
      </c>
      <c r="H36" s="7" t="e">
        <f t="shared" si="1"/>
        <v>#REF!</v>
      </c>
    </row>
    <row r="37" spans="1:8">
      <c r="A37" s="2" t="s">
        <v>46</v>
      </c>
      <c r="B37" s="3" t="s">
        <v>9</v>
      </c>
      <c r="C37" s="4">
        <v>1012.412711664412</v>
      </c>
      <c r="D37" s="4">
        <v>5.7993555775168781</v>
      </c>
      <c r="E37" s="5">
        <v>39.464723661129213</v>
      </c>
      <c r="F37" s="6">
        <v>98.393447070976492</v>
      </c>
      <c r="G37" s="7" t="e">
        <f>#REF! + (#REF! * C37) + (#REF! * D37) + (#REF! * E37)</f>
        <v>#REF!</v>
      </c>
      <c r="H37" s="7" t="e">
        <f t="shared" si="1"/>
        <v>#REF!</v>
      </c>
    </row>
    <row r="38" spans="1:8">
      <c r="A38" s="2" t="s">
        <v>47</v>
      </c>
      <c r="B38" s="3" t="s">
        <v>17</v>
      </c>
      <c r="C38" s="4">
        <v>387.72107377497957</v>
      </c>
      <c r="D38" s="4">
        <v>64.785126399929368</v>
      </c>
      <c r="E38" s="5">
        <v>40.564848845066273</v>
      </c>
      <c r="F38" s="6">
        <v>67.542496130927063</v>
      </c>
      <c r="G38" s="7" t="e">
        <f>#REF! + (#REF! * C38) + (#REF! * D38) + (#REF! * E38)</f>
        <v>#REF!</v>
      </c>
      <c r="H38" s="7" t="e">
        <f t="shared" si="1"/>
        <v>#REF!</v>
      </c>
    </row>
    <row r="39" spans="1:8">
      <c r="A39" s="2" t="s">
        <v>48</v>
      </c>
      <c r="B39" s="3" t="s">
        <v>17</v>
      </c>
      <c r="C39" s="4">
        <v>131.113421367916</v>
      </c>
      <c r="D39" s="4">
        <v>53.775939392572731</v>
      </c>
      <c r="E39" s="5">
        <v>39.86848641035742</v>
      </c>
      <c r="F39" s="6">
        <v>66.522466829726625</v>
      </c>
      <c r="G39" s="7" t="e">
        <f>#REF! + (#REF! * C39) + (#REF! * D39) + (#REF! * E39)</f>
        <v>#REF!</v>
      </c>
      <c r="H39" s="7" t="e">
        <f t="shared" si="1"/>
        <v>#REF!</v>
      </c>
    </row>
    <row r="40" spans="1:8">
      <c r="A40" s="2" t="s">
        <v>49</v>
      </c>
      <c r="B40" s="3" t="s">
        <v>9</v>
      </c>
      <c r="C40" s="4">
        <v>858.4489528750745</v>
      </c>
      <c r="D40" s="4">
        <v>7.3023113787489029</v>
      </c>
      <c r="E40" s="5">
        <v>39.503177393259158</v>
      </c>
      <c r="F40" s="6">
        <v>98.364871054632061</v>
      </c>
      <c r="G40" s="7" t="e">
        <f>#REF! + (#REF! * C40) + (#REF! * D40) + (#REF! * E40)</f>
        <v>#REF!</v>
      </c>
      <c r="H40" s="7" t="e">
        <f t="shared" si="1"/>
        <v>#REF!</v>
      </c>
    </row>
    <row r="41" spans="1:8">
      <c r="A41" s="2" t="s">
        <v>50</v>
      </c>
      <c r="B41" s="3" t="s">
        <v>12</v>
      </c>
      <c r="C41" s="4">
        <v>555.78909223710559</v>
      </c>
      <c r="D41" s="4">
        <v>30.700585816370982</v>
      </c>
      <c r="E41" s="5">
        <v>38.131811831935231</v>
      </c>
      <c r="F41" s="6">
        <v>66.893284796742378</v>
      </c>
      <c r="G41" s="7" t="e">
        <f>#REF! + (#REF! * C41) + (#REF! * D41) + (#REF! * E41)</f>
        <v>#REF!</v>
      </c>
      <c r="H41" s="7" t="e">
        <f t="shared" si="1"/>
        <v>#REF!</v>
      </c>
    </row>
    <row r="42" spans="1:8">
      <c r="A42" s="2" t="s">
        <v>51</v>
      </c>
      <c r="B42" s="3" t="s">
        <v>9</v>
      </c>
      <c r="C42" s="4">
        <v>161.32741120752581</v>
      </c>
      <c r="D42" s="4">
        <v>95.55138625456533</v>
      </c>
      <c r="E42" s="5">
        <v>39.633520957427592</v>
      </c>
      <c r="F42" s="6">
        <v>56.010696687262929</v>
      </c>
      <c r="G42" s="7" t="e">
        <f>#REF! + (#REF! * C42) + (#REF! * D42) + (#REF! * E42)</f>
        <v>#REF!</v>
      </c>
      <c r="H42" s="7" t="e">
        <f t="shared" si="1"/>
        <v>#REF!</v>
      </c>
    </row>
    <row r="43" spans="1:8">
      <c r="A43" s="2" t="s">
        <v>52</v>
      </c>
      <c r="B43" s="3" t="s">
        <v>17</v>
      </c>
      <c r="C43" s="4">
        <v>624.01936853797508</v>
      </c>
      <c r="D43" s="4">
        <v>26.674874738698161</v>
      </c>
      <c r="E43" s="5">
        <v>40.721156165302361</v>
      </c>
      <c r="F43" s="6">
        <v>92.173751018622696</v>
      </c>
      <c r="G43" s="7" t="e">
        <f>#REF! + (#REF! * C43) + (#REF! * D43) + (#REF! * E43)</f>
        <v>#REF!</v>
      </c>
      <c r="H43" s="7" t="e">
        <f t="shared" si="1"/>
        <v>#REF!</v>
      </c>
    </row>
    <row r="44" spans="1:8">
      <c r="A44" s="2" t="s">
        <v>53</v>
      </c>
      <c r="B44" s="3" t="s">
        <v>12</v>
      </c>
      <c r="C44" s="4">
        <v>52.641766182870811</v>
      </c>
      <c r="D44" s="4">
        <v>16.92417182539598</v>
      </c>
      <c r="E44" s="5">
        <v>38.256243644185922</v>
      </c>
      <c r="F44" s="6">
        <v>63.222434611006022</v>
      </c>
      <c r="G44" s="7" t="e">
        <f>#REF! + (#REF! * C44) + (#REF! * D44) + (#REF! * E44)</f>
        <v>#REF!</v>
      </c>
      <c r="H44" s="7" t="e">
        <f t="shared" si="1"/>
        <v>#REF!</v>
      </c>
    </row>
    <row r="45" spans="1:8">
      <c r="A45" s="2" t="s">
        <v>54</v>
      </c>
      <c r="B45" s="3" t="s">
        <v>9</v>
      </c>
      <c r="C45" s="4">
        <v>1137.5572985776901</v>
      </c>
      <c r="D45" s="4">
        <v>52.413634308588989</v>
      </c>
      <c r="E45" s="5">
        <v>39.353155991854827</v>
      </c>
      <c r="F45" s="6">
        <v>97.701942164245708</v>
      </c>
      <c r="G45" s="7" t="e">
        <f>#REF! + (#REF! * C45) + (#REF! * D45) + (#REF! * E45)</f>
        <v>#REF!</v>
      </c>
      <c r="H45" s="7" t="e">
        <f t="shared" si="1"/>
        <v>#REF!</v>
      </c>
    </row>
    <row r="46" spans="1:8">
      <c r="A46" s="2" t="s">
        <v>55</v>
      </c>
      <c r="B46" s="3" t="s">
        <v>17</v>
      </c>
      <c r="C46" s="4">
        <v>330.88717718402103</v>
      </c>
      <c r="D46" s="4">
        <v>103.5219967733919</v>
      </c>
      <c r="E46" s="5">
        <v>40.394381908591072</v>
      </c>
      <c r="F46" s="6">
        <v>53.239569436067541</v>
      </c>
      <c r="G46" s="7" t="e">
        <f>#REF! + (#REF! * C46) + (#REF! * D46) + (#REF! * E46)</f>
        <v>#REF!</v>
      </c>
      <c r="H46" s="7" t="e">
        <f t="shared" si="1"/>
        <v>#REF!</v>
      </c>
    </row>
    <row r="47" spans="1:8">
      <c r="A47" s="2" t="s">
        <v>56</v>
      </c>
      <c r="B47" s="3" t="s">
        <v>17</v>
      </c>
      <c r="C47" s="4">
        <v>831.52763259893766</v>
      </c>
      <c r="D47" s="4">
        <v>26.93169296568454</v>
      </c>
      <c r="E47" s="5">
        <v>39.998228991487203</v>
      </c>
      <c r="F47" s="6">
        <v>89.462301585131328</v>
      </c>
      <c r="G47" s="7" t="e">
        <f>#REF! + (#REF! * C47) + (#REF! * D47) + (#REF! * E47)</f>
        <v>#REF!</v>
      </c>
      <c r="H47" s="7" t="e">
        <f t="shared" si="1"/>
        <v>#REF!</v>
      </c>
    </row>
    <row r="48" spans="1:8">
      <c r="A48" s="2" t="s">
        <v>57</v>
      </c>
      <c r="B48" s="3" t="s">
        <v>17</v>
      </c>
      <c r="C48" s="4">
        <v>396.52173435086962</v>
      </c>
      <c r="D48" s="4">
        <v>71.229961382805485</v>
      </c>
      <c r="E48" s="5">
        <v>39.871345648886283</v>
      </c>
      <c r="F48" s="6">
        <v>70.802326731122577</v>
      </c>
      <c r="G48" s="7" t="e">
        <f>#REF! + (#REF! * C48) + (#REF! * D48) + (#REF! * E48)</f>
        <v>#REF!</v>
      </c>
      <c r="H48" s="7" t="e">
        <f t="shared" si="1"/>
        <v>#REF!</v>
      </c>
    </row>
    <row r="49" spans="1:8">
      <c r="A49" s="2" t="s">
        <v>58</v>
      </c>
      <c r="B49" s="3" t="s">
        <v>17</v>
      </c>
      <c r="C49" s="4">
        <v>654.88434626048536</v>
      </c>
      <c r="D49" s="4">
        <v>80.446820378857907</v>
      </c>
      <c r="E49" s="5">
        <v>39.887203843562617</v>
      </c>
      <c r="F49" s="6">
        <v>76.757879693893869</v>
      </c>
      <c r="G49" s="7" t="e">
        <f>#REF! + (#REF! * C49) + (#REF! * D49) + (#REF! * E49)</f>
        <v>#REF!</v>
      </c>
      <c r="H49" s="7" t="e">
        <f t="shared" si="1"/>
        <v>#REF!</v>
      </c>
    </row>
    <row r="50" spans="1:8">
      <c r="A50" s="2" t="s">
        <v>59</v>
      </c>
      <c r="B50" s="3" t="s">
        <v>9</v>
      </c>
      <c r="C50" s="4">
        <v>687.9207463856668</v>
      </c>
      <c r="D50" s="4">
        <v>26.476667031217161</v>
      </c>
      <c r="E50" s="5">
        <v>38.892524338537292</v>
      </c>
      <c r="F50" s="6">
        <v>81.477172986316276</v>
      </c>
      <c r="G50" s="7" t="e">
        <f>#REF! + (#REF! * C50) + (#REF! * D50) + (#REF! * E50)</f>
        <v>#REF!</v>
      </c>
      <c r="H50" s="7" t="e">
        <f t="shared" si="1"/>
        <v>#REF!</v>
      </c>
    </row>
    <row r="51" spans="1:8">
      <c r="A51" s="2" t="s">
        <v>60</v>
      </c>
      <c r="B51" s="3" t="s">
        <v>9</v>
      </c>
      <c r="C51" s="4">
        <v>239.21952485165349</v>
      </c>
      <c r="D51" s="4">
        <v>77.00628390702154</v>
      </c>
      <c r="E51" s="5">
        <v>38.701416348367033</v>
      </c>
      <c r="F51" s="6">
        <v>52.788551974925461</v>
      </c>
      <c r="G51" s="7" t="e">
        <f>#REF! + (#REF! * C51) + (#REF! * D51) + (#REF! * E51)</f>
        <v>#REF!</v>
      </c>
      <c r="H51" s="7" t="e">
        <f t="shared" si="1"/>
        <v>#REF!</v>
      </c>
    </row>
    <row r="52" spans="1:8">
      <c r="A52" s="2" t="s">
        <v>61</v>
      </c>
      <c r="B52" s="3" t="s">
        <v>17</v>
      </c>
      <c r="C52" s="4">
        <v>1212.284938428053</v>
      </c>
      <c r="D52" s="4">
        <v>39.881662670083081</v>
      </c>
      <c r="E52" s="5">
        <v>40.19714735088769</v>
      </c>
      <c r="F52" s="6">
        <v>112.6981778442055</v>
      </c>
      <c r="G52" s="7" t="e">
        <f>#REF! + (#REF! * C52) + (#REF! * D52) + (#REF! * E52)</f>
        <v>#REF!</v>
      </c>
      <c r="H52" s="7" t="e">
        <f t="shared" si="1"/>
        <v>#REF!</v>
      </c>
    </row>
    <row r="53" spans="1:8">
      <c r="A53" s="2" t="s">
        <v>62</v>
      </c>
      <c r="B53" s="3" t="s">
        <v>17</v>
      </c>
      <c r="C53" s="4">
        <v>971.1647009677821</v>
      </c>
      <c r="D53" s="4">
        <v>67.127500551138681</v>
      </c>
      <c r="E53" s="5">
        <v>40.199328844569621</v>
      </c>
      <c r="F53" s="6">
        <v>85.248168889536458</v>
      </c>
      <c r="G53" s="7" t="e">
        <f>#REF! + (#REF! * C53) + (#REF! * D53) + (#REF! * E53)</f>
        <v>#REF!</v>
      </c>
      <c r="H53" s="7" t="e">
        <f t="shared" si="1"/>
        <v>#REF!</v>
      </c>
    </row>
    <row r="54" spans="1:8">
      <c r="A54" s="2" t="s">
        <v>63</v>
      </c>
      <c r="B54" s="3" t="s">
        <v>17</v>
      </c>
      <c r="C54" s="4">
        <v>1174.9786875395951</v>
      </c>
      <c r="D54" s="4">
        <v>67.25356020837215</v>
      </c>
      <c r="E54" s="5">
        <v>40.3645097238823</v>
      </c>
      <c r="F54" s="6">
        <v>100.7523247516323</v>
      </c>
      <c r="G54" s="7" t="e">
        <f>#REF! + (#REF! * C54) + (#REF! * D54) + (#REF! * E54)</f>
        <v>#REF!</v>
      </c>
      <c r="H54" s="7" t="e">
        <f t="shared" si="1"/>
        <v>#REF!</v>
      </c>
    </row>
    <row r="55" spans="1:8">
      <c r="A55" s="2" t="s">
        <v>64</v>
      </c>
      <c r="B55" s="3" t="s">
        <v>17</v>
      </c>
      <c r="C55" s="4">
        <v>1119.585914530285</v>
      </c>
      <c r="D55" s="4">
        <v>57.184792459700127</v>
      </c>
      <c r="E55" s="5">
        <v>40.498397602413768</v>
      </c>
      <c r="F55" s="6">
        <v>97.263793581073884</v>
      </c>
      <c r="G55" s="7" t="e">
        <f>#REF! + (#REF! * C55) + (#REF! * D55) + (#REF! * E55)</f>
        <v>#REF!</v>
      </c>
      <c r="H55" s="7" t="e">
        <f t="shared" si="1"/>
        <v>#REF!</v>
      </c>
    </row>
    <row r="56" spans="1:8">
      <c r="A56" s="2" t="s">
        <v>65</v>
      </c>
      <c r="B56" s="3" t="s">
        <v>9</v>
      </c>
      <c r="C56" s="4">
        <v>751.39597372574553</v>
      </c>
      <c r="D56" s="4">
        <v>11.299846315604061</v>
      </c>
      <c r="E56" s="5">
        <v>39.332892956696718</v>
      </c>
      <c r="F56" s="6">
        <v>88.855875109075285</v>
      </c>
      <c r="G56" s="7" t="e">
        <f>#REF! + (#REF! * C56) + (#REF! * D56) + (#REF! * E56)</f>
        <v>#REF!</v>
      </c>
      <c r="H56" s="7" t="e">
        <f t="shared" si="1"/>
        <v>#REF!</v>
      </c>
    </row>
    <row r="57" spans="1:8">
      <c r="A57" s="2" t="s">
        <v>66</v>
      </c>
      <c r="B57" s="3" t="s">
        <v>9</v>
      </c>
      <c r="C57" s="4">
        <v>1153.1240514286651</v>
      </c>
      <c r="D57" s="4">
        <v>88.03615704569151</v>
      </c>
      <c r="E57" s="5">
        <v>39.304397254592878</v>
      </c>
      <c r="F57" s="6">
        <v>92.052829043117555</v>
      </c>
      <c r="G57" s="7" t="e">
        <f>#REF! + (#REF! * C57) + (#REF! * D57) + (#REF! * E57)</f>
        <v>#REF!</v>
      </c>
      <c r="H57" s="7" t="e">
        <f t="shared" si="1"/>
        <v>#REF!</v>
      </c>
    </row>
    <row r="58" spans="1:8">
      <c r="A58" s="2" t="s">
        <v>67</v>
      </c>
      <c r="B58" s="3" t="s">
        <v>17</v>
      </c>
      <c r="C58" s="4">
        <v>119.73070254438019</v>
      </c>
      <c r="D58" s="4">
        <v>35.040346692088789</v>
      </c>
      <c r="E58" s="5">
        <v>40.16505601900365</v>
      </c>
      <c r="F58" s="6">
        <v>72.436498837357803</v>
      </c>
      <c r="G58" s="7" t="e">
        <f>#REF! + (#REF! * C58) + (#REF! * D58) + (#REF! * E58)</f>
        <v>#REF!</v>
      </c>
      <c r="H58" s="7" t="e">
        <f t="shared" si="1"/>
        <v>#REF!</v>
      </c>
    </row>
    <row r="59" spans="1:8">
      <c r="A59" s="2" t="s">
        <v>68</v>
      </c>
      <c r="B59" s="3" t="s">
        <v>9</v>
      </c>
      <c r="C59" s="4">
        <v>253.01874939973999</v>
      </c>
      <c r="D59" s="4">
        <v>21.211406571184991</v>
      </c>
      <c r="E59" s="5">
        <v>39.734895399255521</v>
      </c>
      <c r="F59" s="6">
        <v>77.960376642699345</v>
      </c>
      <c r="G59" s="7" t="e">
        <f>#REF! + (#REF! * C59) + (#REF! * D59) + (#REF! * E59)</f>
        <v>#REF!</v>
      </c>
      <c r="H59" s="7" t="e">
        <f t="shared" si="1"/>
        <v>#REF!</v>
      </c>
    </row>
    <row r="60" spans="1:8">
      <c r="A60" s="2" t="s">
        <v>69</v>
      </c>
      <c r="B60" s="3" t="s">
        <v>17</v>
      </c>
      <c r="C60" s="4">
        <v>66.081838249067204</v>
      </c>
      <c r="D60" s="4">
        <v>6.1998395801406829</v>
      </c>
      <c r="E60" s="5">
        <v>39.885703944047343</v>
      </c>
      <c r="F60" s="6">
        <v>79.265903703223898</v>
      </c>
      <c r="G60" s="7" t="e">
        <f>#REF! + (#REF! * C60) + (#REF! * D60) + (#REF! * E60)</f>
        <v>#REF!</v>
      </c>
      <c r="H60" s="7" t="e">
        <f t="shared" si="1"/>
        <v>#REF!</v>
      </c>
    </row>
    <row r="61" spans="1:8">
      <c r="A61" s="2" t="s">
        <v>70</v>
      </c>
      <c r="B61" s="3" t="s">
        <v>17</v>
      </c>
      <c r="C61" s="4">
        <v>413.40961014644779</v>
      </c>
      <c r="D61" s="4">
        <v>62.861973148388913</v>
      </c>
      <c r="E61" s="5">
        <v>40.157798741364687</v>
      </c>
      <c r="F61" s="6">
        <v>70.478506025108047</v>
      </c>
      <c r="G61" s="7" t="e">
        <f>#REF! + (#REF! * C61) + (#REF! * D61) + (#REF! * E61)</f>
        <v>#REF!</v>
      </c>
      <c r="H61" s="7" t="e">
        <f t="shared" si="1"/>
        <v>#REF!</v>
      </c>
    </row>
    <row r="62" spans="1:8">
      <c r="A62" s="2" t="s">
        <v>71</v>
      </c>
      <c r="B62" s="3" t="s">
        <v>17</v>
      </c>
      <c r="C62" s="4">
        <v>491.9598392149577</v>
      </c>
      <c r="D62" s="4">
        <v>71.789129269755094</v>
      </c>
      <c r="E62" s="5">
        <v>40.431015491270941</v>
      </c>
      <c r="F62" s="6">
        <v>76.909507238474049</v>
      </c>
      <c r="G62" s="7" t="e">
        <f>#REF! + (#REF! * C62) + (#REF! * D62) + (#REF! * E62)</f>
        <v>#REF!</v>
      </c>
      <c r="H62" s="7" t="e">
        <f t="shared" si="1"/>
        <v>#REF!</v>
      </c>
    </row>
    <row r="63" spans="1:8">
      <c r="A63" s="2" t="s">
        <v>72</v>
      </c>
      <c r="B63" s="3" t="s">
        <v>9</v>
      </c>
      <c r="C63" s="4">
        <v>346.4727993996309</v>
      </c>
      <c r="D63" s="4">
        <v>3.7085463795691842</v>
      </c>
      <c r="E63" s="5">
        <v>38.830185954869457</v>
      </c>
      <c r="F63" s="6">
        <v>72.965297739519372</v>
      </c>
      <c r="G63" s="7" t="e">
        <f>#REF! + (#REF! * C63) + (#REF! * D63) + (#REF! * E63)</f>
        <v>#REF!</v>
      </c>
      <c r="H63" s="7" t="e">
        <f t="shared" si="1"/>
        <v>#REF!</v>
      </c>
    </row>
    <row r="64" spans="1:8">
      <c r="A64" s="2" t="s">
        <v>73</v>
      </c>
      <c r="B64" s="3" t="s">
        <v>9</v>
      </c>
      <c r="C64" s="4">
        <v>1037.6345113483919</v>
      </c>
      <c r="D64" s="4">
        <v>54.745585004825941</v>
      </c>
      <c r="E64" s="5">
        <v>38.939190562655838</v>
      </c>
      <c r="F64" s="6">
        <v>89.165305182609117</v>
      </c>
      <c r="G64" s="7" t="e">
        <f>#REF! + (#REF! * C64) + (#REF! * D64) + (#REF! * E64)</f>
        <v>#REF!</v>
      </c>
      <c r="H64" s="7" t="e">
        <f t="shared" si="1"/>
        <v>#REF!</v>
      </c>
    </row>
    <row r="65" spans="1:8">
      <c r="A65" s="2" t="s">
        <v>74</v>
      </c>
      <c r="B65" s="3" t="s">
        <v>12</v>
      </c>
      <c r="C65" s="4">
        <v>452.37412510005072</v>
      </c>
      <c r="D65" s="4">
        <v>25.329064845387609</v>
      </c>
      <c r="E65" s="5">
        <v>38.122547625538523</v>
      </c>
      <c r="F65" s="6">
        <v>68.216803524025948</v>
      </c>
      <c r="G65" s="7" t="e">
        <f>#REF! + (#REF! * C65) + (#REF! * D65) + (#REF! * E65)</f>
        <v>#REF!</v>
      </c>
      <c r="H65" s="7" t="e">
        <f t="shared" si="1"/>
        <v>#REF!</v>
      </c>
    </row>
    <row r="66" spans="1:8">
      <c r="A66" s="2" t="s">
        <v>75</v>
      </c>
      <c r="B66" s="3" t="s">
        <v>9</v>
      </c>
      <c r="C66" s="4">
        <v>358.35879201235213</v>
      </c>
      <c r="D66" s="4">
        <v>68.452797412173339</v>
      </c>
      <c r="E66" s="5">
        <v>39.527012408888908</v>
      </c>
      <c r="F66" s="6">
        <v>63.889848670516621</v>
      </c>
      <c r="G66" s="7" t="e">
        <f>#REF! + (#REF! * C66) + (#REF! * D66) + (#REF! * E66)</f>
        <v>#REF!</v>
      </c>
      <c r="H66" s="7" t="e">
        <f t="shared" ref="H66:H97" si="2">F66 - G66</f>
        <v>#REF!</v>
      </c>
    </row>
    <row r="67" spans="1:8">
      <c r="A67" s="2" t="s">
        <v>76</v>
      </c>
      <c r="B67" s="3" t="s">
        <v>12</v>
      </c>
      <c r="C67" s="4">
        <v>682.94314311622804</v>
      </c>
      <c r="D67" s="4">
        <v>19.95974218751412</v>
      </c>
      <c r="E67" s="5">
        <v>37.954232594010563</v>
      </c>
      <c r="F67" s="6">
        <v>81.374838443640968</v>
      </c>
      <c r="G67" s="7" t="e">
        <f>#REF! + (#REF! * C67) + (#REF! * D67) + (#REF! * E67)</f>
        <v>#REF!</v>
      </c>
      <c r="H67" s="7" t="e">
        <f t="shared" si="2"/>
        <v>#REF!</v>
      </c>
    </row>
    <row r="68" spans="1:8">
      <c r="A68" s="2" t="s">
        <v>77</v>
      </c>
      <c r="B68" s="3" t="s">
        <v>9</v>
      </c>
      <c r="C68" s="4">
        <v>184.7460389687057</v>
      </c>
      <c r="D68" s="4">
        <v>73.166587024553991</v>
      </c>
      <c r="E68" s="5">
        <v>39.200234252584139</v>
      </c>
      <c r="F68" s="6">
        <v>48.722102236127377</v>
      </c>
      <c r="G68" s="7" t="e">
        <f>#REF! + (#REF! * C68) + (#REF! * D68) + (#REF! * E68)</f>
        <v>#REF!</v>
      </c>
      <c r="H68" s="7" t="e">
        <f t="shared" si="2"/>
        <v>#REF!</v>
      </c>
    </row>
    <row r="69" spans="1:8">
      <c r="A69" s="2" t="s">
        <v>78</v>
      </c>
      <c r="B69" s="3" t="s">
        <v>9</v>
      </c>
      <c r="C69" s="4">
        <v>1004.724256135009</v>
      </c>
      <c r="D69" s="4">
        <v>41.83374066895535</v>
      </c>
      <c r="E69" s="5">
        <v>39.42366944065197</v>
      </c>
      <c r="F69" s="6">
        <v>105.6258346464375</v>
      </c>
      <c r="G69" s="7" t="e">
        <f>#REF! + (#REF! * C69) + (#REF! * D69) + (#REF! * E69)</f>
        <v>#REF!</v>
      </c>
      <c r="H69" s="7" t="e">
        <f t="shared" si="2"/>
        <v>#REF!</v>
      </c>
    </row>
    <row r="70" spans="1:8">
      <c r="A70" s="2" t="s">
        <v>79</v>
      </c>
      <c r="B70" s="3" t="s">
        <v>12</v>
      </c>
      <c r="C70" s="4">
        <v>102.44279816291581</v>
      </c>
      <c r="D70" s="4">
        <v>98.483188839883653</v>
      </c>
      <c r="E70" s="5">
        <v>38.680969631172033</v>
      </c>
      <c r="F70" s="6">
        <v>35.165267970802503</v>
      </c>
      <c r="G70" s="7" t="e">
        <f>#REF! + (#REF! * C70) + (#REF! * D70) + (#REF! * E70)</f>
        <v>#REF!</v>
      </c>
      <c r="H70" s="7" t="e">
        <f t="shared" si="2"/>
        <v>#REF!</v>
      </c>
    </row>
    <row r="71" spans="1:8">
      <c r="A71" s="2" t="s">
        <v>80</v>
      </c>
      <c r="B71" s="3" t="s">
        <v>9</v>
      </c>
      <c r="C71" s="4">
        <v>1233.7398013846409</v>
      </c>
      <c r="D71" s="4">
        <v>16.164657247037301</v>
      </c>
      <c r="E71" s="5">
        <v>39.563416455650128</v>
      </c>
      <c r="F71" s="6">
        <v>99.454380685833613</v>
      </c>
      <c r="G71" s="7" t="e">
        <f>#REF! + (#REF! * C71) + (#REF! * D71) + (#REF! * E71)</f>
        <v>#REF!</v>
      </c>
      <c r="H71" s="7" t="e">
        <f t="shared" si="2"/>
        <v>#REF!</v>
      </c>
    </row>
    <row r="72" spans="1:8">
      <c r="A72" s="2" t="s">
        <v>81</v>
      </c>
      <c r="B72" s="3" t="s">
        <v>12</v>
      </c>
      <c r="C72" s="4">
        <v>967.58351392785517</v>
      </c>
      <c r="D72" s="4">
        <v>37.129834158176628</v>
      </c>
      <c r="E72" s="5">
        <v>37.938450724823248</v>
      </c>
      <c r="F72" s="6">
        <v>90.614662127310709</v>
      </c>
      <c r="G72" s="7" t="e">
        <f>#REF! + (#REF! * C72) + (#REF! * D72) + (#REF! * E72)</f>
        <v>#REF!</v>
      </c>
      <c r="H72" s="7" t="e">
        <f t="shared" si="2"/>
        <v>#REF!</v>
      </c>
    </row>
    <row r="73" spans="1:8">
      <c r="A73" s="2" t="s">
        <v>82</v>
      </c>
      <c r="B73" s="3" t="s">
        <v>12</v>
      </c>
      <c r="C73" s="4">
        <v>256.4074451023738</v>
      </c>
      <c r="D73" s="4">
        <v>13.68777268778067</v>
      </c>
      <c r="E73" s="5">
        <v>37.958309747372716</v>
      </c>
      <c r="F73" s="6">
        <v>69.281700257371995</v>
      </c>
      <c r="G73" s="7" t="e">
        <f>#REF! + (#REF! * C73) + (#REF! * D73) + (#REF! * E73)</f>
        <v>#REF!</v>
      </c>
      <c r="H73" s="7" t="e">
        <f t="shared" si="2"/>
        <v>#REF!</v>
      </c>
    </row>
    <row r="74" spans="1:8">
      <c r="A74" s="2" t="s">
        <v>83</v>
      </c>
      <c r="B74" s="3" t="s">
        <v>17</v>
      </c>
      <c r="C74" s="4">
        <v>16.847425233266971</v>
      </c>
      <c r="D74" s="4">
        <v>97.243442682691963</v>
      </c>
      <c r="E74" s="5">
        <v>40.235541625913008</v>
      </c>
      <c r="F74" s="6">
        <v>52.297461916655656</v>
      </c>
      <c r="G74" s="7" t="e">
        <f>#REF! + (#REF! * C74) + (#REF! * D74) + (#REF! * E74)</f>
        <v>#REF!</v>
      </c>
      <c r="H74" s="7" t="e">
        <f t="shared" si="2"/>
        <v>#REF!</v>
      </c>
    </row>
    <row r="75" spans="1:8">
      <c r="A75" s="2" t="s">
        <v>84</v>
      </c>
      <c r="B75" s="3" t="s">
        <v>9</v>
      </c>
      <c r="C75" s="4">
        <v>1021.172171283994</v>
      </c>
      <c r="D75" s="4">
        <v>92.365953398241047</v>
      </c>
      <c r="E75" s="5">
        <v>38.894552860092674</v>
      </c>
      <c r="F75" s="6">
        <v>80.841880302480376</v>
      </c>
      <c r="G75" s="7" t="e">
        <f>#REF! + (#REF! * C75) + (#REF! * D75) + (#REF! * E75)</f>
        <v>#REF!</v>
      </c>
      <c r="H75" s="7" t="e">
        <f t="shared" si="2"/>
        <v>#REF!</v>
      </c>
    </row>
    <row r="76" spans="1:8">
      <c r="A76" s="2" t="s">
        <v>85</v>
      </c>
      <c r="B76" s="3" t="s">
        <v>12</v>
      </c>
      <c r="C76" s="4">
        <v>886.50310637104519</v>
      </c>
      <c r="D76" s="4">
        <v>28.567987654661032</v>
      </c>
      <c r="E76" s="5">
        <v>38.218475486690473</v>
      </c>
      <c r="F76" s="6">
        <v>83.97628633557224</v>
      </c>
      <c r="G76" s="7" t="e">
        <f>#REF! + (#REF! * C76) + (#REF! * D76) + (#REF! * E76)</f>
        <v>#REF!</v>
      </c>
      <c r="H76" s="7" t="e">
        <f t="shared" si="2"/>
        <v>#REF!</v>
      </c>
    </row>
    <row r="77" spans="1:8">
      <c r="A77" s="2" t="s">
        <v>86</v>
      </c>
      <c r="B77" s="3" t="s">
        <v>9</v>
      </c>
      <c r="C77" s="4">
        <v>913.96888837082429</v>
      </c>
      <c r="D77" s="4">
        <v>69.978356741520443</v>
      </c>
      <c r="E77" s="5">
        <v>39.36450545415893</v>
      </c>
      <c r="F77" s="6">
        <v>75.580855212045122</v>
      </c>
      <c r="G77" s="7" t="e">
        <f>#REF! + (#REF! * C77) + (#REF! * D77) + (#REF! * E77)</f>
        <v>#REF!</v>
      </c>
      <c r="H77" s="7" t="e">
        <f t="shared" si="2"/>
        <v>#REF!</v>
      </c>
    </row>
    <row r="78" spans="1:8">
      <c r="A78" s="2" t="s">
        <v>87</v>
      </c>
      <c r="B78" s="3" t="s">
        <v>17</v>
      </c>
      <c r="C78" s="4">
        <v>966.37522989057277</v>
      </c>
      <c r="D78" s="4">
        <v>86.173886620725227</v>
      </c>
      <c r="E78" s="5">
        <v>40.082981303985967</v>
      </c>
      <c r="F78" s="6">
        <v>83.939020208341546</v>
      </c>
      <c r="G78" s="7" t="e">
        <f>#REF! + (#REF! * C78) + (#REF! * D78) + (#REF! * E78)</f>
        <v>#REF!</v>
      </c>
      <c r="H78" s="7" t="e">
        <f t="shared" si="2"/>
        <v>#REF!</v>
      </c>
    </row>
    <row r="79" spans="1:8">
      <c r="A79" s="2" t="s">
        <v>88</v>
      </c>
      <c r="B79" s="3" t="s">
        <v>12</v>
      </c>
      <c r="C79" s="4">
        <v>101.81536815027211</v>
      </c>
      <c r="D79" s="4">
        <v>59.185683594744617</v>
      </c>
      <c r="E79" s="5">
        <v>38.475880979740843</v>
      </c>
      <c r="F79" s="6">
        <v>45.94265005395448</v>
      </c>
      <c r="G79" s="7" t="e">
        <f>#REF! + (#REF! * C79) + (#REF! * D79) + (#REF! * E79)</f>
        <v>#REF!</v>
      </c>
      <c r="H79" s="7" t="e">
        <f t="shared" si="2"/>
        <v>#REF!</v>
      </c>
    </row>
    <row r="80" spans="1:8">
      <c r="A80" s="2" t="s">
        <v>89</v>
      </c>
      <c r="B80" s="3" t="s">
        <v>9</v>
      </c>
      <c r="C80" s="4">
        <v>454.49750339489799</v>
      </c>
      <c r="D80" s="4">
        <v>56.554009570668669</v>
      </c>
      <c r="E80" s="5">
        <v>39.656382379875097</v>
      </c>
      <c r="F80" s="6">
        <v>76.731507904914722</v>
      </c>
      <c r="G80" s="7" t="e">
        <f>#REF! + (#REF! * C80) + (#REF! * D80) + (#REF! * E80)</f>
        <v>#REF!</v>
      </c>
      <c r="H80" s="7" t="e">
        <f t="shared" si="2"/>
        <v>#REF!</v>
      </c>
    </row>
    <row r="81" spans="1:8">
      <c r="A81" s="2" t="s">
        <v>90</v>
      </c>
      <c r="B81" s="3" t="s">
        <v>12</v>
      </c>
      <c r="C81" s="4">
        <v>153.6776338111608</v>
      </c>
      <c r="D81" s="4">
        <v>26.91078596274652</v>
      </c>
      <c r="E81" s="5">
        <v>38.09750764848193</v>
      </c>
      <c r="F81" s="6">
        <v>57.076314032716063</v>
      </c>
      <c r="G81" s="7" t="e">
        <f>#REF! + (#REF! * C81) + (#REF! * D81) + (#REF! * E81)</f>
        <v>#REF!</v>
      </c>
      <c r="H81" s="7" t="e">
        <f t="shared" si="2"/>
        <v>#REF!</v>
      </c>
    </row>
    <row r="82" spans="1:8">
      <c r="A82" s="2" t="s">
        <v>91</v>
      </c>
      <c r="B82" s="3" t="s">
        <v>12</v>
      </c>
      <c r="C82" s="4">
        <v>1080.2482480857359</v>
      </c>
      <c r="D82" s="4">
        <v>11.58958508400762</v>
      </c>
      <c r="E82" s="5">
        <v>37.999876991388973</v>
      </c>
      <c r="F82" s="6">
        <v>88.461229773317342</v>
      </c>
      <c r="G82" s="7" t="e">
        <f>#REF! + (#REF! * C82) + (#REF! * D82) + (#REF! * E82)</f>
        <v>#REF!</v>
      </c>
      <c r="H82" s="7" t="e">
        <f t="shared" si="2"/>
        <v>#REF!</v>
      </c>
    </row>
    <row r="83" spans="1:8">
      <c r="A83" s="2" t="s">
        <v>92</v>
      </c>
      <c r="B83" s="3" t="s">
        <v>9</v>
      </c>
      <c r="C83" s="4">
        <v>782.88967726617182</v>
      </c>
      <c r="D83" s="4">
        <v>94.413223069192654</v>
      </c>
      <c r="E83" s="5">
        <v>39.390928431547628</v>
      </c>
      <c r="F83" s="6">
        <v>68.737060241271934</v>
      </c>
      <c r="G83" s="7" t="e">
        <f>#REF! + (#REF! * C83) + (#REF! * D83) + (#REF! * E83)</f>
        <v>#REF!</v>
      </c>
      <c r="H83" s="7" t="e">
        <f t="shared" si="2"/>
        <v>#REF!</v>
      </c>
    </row>
    <row r="84" spans="1:8">
      <c r="A84" s="2" t="s">
        <v>93</v>
      </c>
      <c r="B84" s="3" t="s">
        <v>9</v>
      </c>
      <c r="C84" s="4">
        <v>420.31355081728498</v>
      </c>
      <c r="D84" s="4">
        <v>94.743059887823037</v>
      </c>
      <c r="E84" s="5">
        <v>39.417841852669312</v>
      </c>
      <c r="F84" s="6">
        <v>60.860556557421447</v>
      </c>
      <c r="G84" s="7" t="e">
        <f>#REF! + (#REF! * C84) + (#REF! * D84) + (#REF! * E84)</f>
        <v>#REF!</v>
      </c>
      <c r="H84" s="7" t="e">
        <f t="shared" si="2"/>
        <v>#REF!</v>
      </c>
    </row>
    <row r="85" spans="1:8">
      <c r="A85" s="2" t="s">
        <v>94</v>
      </c>
      <c r="B85" s="3" t="s">
        <v>9</v>
      </c>
      <c r="C85" s="4">
        <v>88.81235435466931</v>
      </c>
      <c r="D85" s="4">
        <v>67.209450099146594</v>
      </c>
      <c r="E85" s="5">
        <v>39.698546714344801</v>
      </c>
      <c r="F85" s="6">
        <v>51.465010568748383</v>
      </c>
      <c r="G85" s="7" t="e">
        <f>#REF! + (#REF! * C85) + (#REF! * D85) + (#REF! * E85)</f>
        <v>#REF!</v>
      </c>
      <c r="H85" s="7" t="e">
        <f t="shared" si="2"/>
        <v>#REF!</v>
      </c>
    </row>
    <row r="86" spans="1:8">
      <c r="A86" s="2" t="s">
        <v>95</v>
      </c>
      <c r="B86" s="3" t="s">
        <v>17</v>
      </c>
      <c r="C86" s="4">
        <v>395.61807892742121</v>
      </c>
      <c r="D86" s="4">
        <v>36.920068478016169</v>
      </c>
      <c r="E86" s="5">
        <v>39.955664867795718</v>
      </c>
      <c r="F86" s="6">
        <v>69.694852404440255</v>
      </c>
      <c r="G86" s="7" t="e">
        <f>#REF! + (#REF! * C86) + (#REF! * D86) + (#REF! * E86)</f>
        <v>#REF!</v>
      </c>
      <c r="H86" s="7" t="e">
        <f t="shared" si="2"/>
        <v>#REF!</v>
      </c>
    </row>
    <row r="87" spans="1:8">
      <c r="A87" s="2" t="s">
        <v>96</v>
      </c>
      <c r="B87" s="3" t="s">
        <v>17</v>
      </c>
      <c r="C87" s="4">
        <v>413.22731931316628</v>
      </c>
      <c r="D87" s="4">
        <v>37.968586185104073</v>
      </c>
      <c r="E87" s="5">
        <v>40.679971030441351</v>
      </c>
      <c r="F87" s="6">
        <v>81.277727232075577</v>
      </c>
      <c r="G87" s="7" t="e">
        <f>#REF! + (#REF! * C87) + (#REF! * D87) + (#REF! * E87)</f>
        <v>#REF!</v>
      </c>
      <c r="H87" s="7" t="e">
        <f t="shared" si="2"/>
        <v>#REF!</v>
      </c>
    </row>
    <row r="88" spans="1:8">
      <c r="A88" s="2" t="s">
        <v>97</v>
      </c>
      <c r="B88" s="3" t="s">
        <v>9</v>
      </c>
      <c r="C88" s="4">
        <v>914.71166113919946</v>
      </c>
      <c r="D88" s="4">
        <v>76.773434923634653</v>
      </c>
      <c r="E88" s="5">
        <v>39.34727101007347</v>
      </c>
      <c r="F88" s="6">
        <v>81.220764283894027</v>
      </c>
      <c r="G88" s="7" t="e">
        <f>#REF! + (#REF! * C88) + (#REF! * D88) + (#REF! * E88)</f>
        <v>#REF!</v>
      </c>
      <c r="H88" s="7" t="e">
        <f t="shared" si="2"/>
        <v>#REF!</v>
      </c>
    </row>
    <row r="89" spans="1:8">
      <c r="A89" s="2" t="s">
        <v>98</v>
      </c>
      <c r="B89" s="3" t="s">
        <v>9</v>
      </c>
      <c r="C89" s="4">
        <v>800.57126448046427</v>
      </c>
      <c r="D89" s="4">
        <v>94.402356775115436</v>
      </c>
      <c r="E89" s="5">
        <v>38.786573771529618</v>
      </c>
      <c r="F89" s="6">
        <v>64.566420759527801</v>
      </c>
      <c r="G89" s="7" t="e">
        <f>#REF! + (#REF! * C89) + (#REF! * D89) + (#REF! * E89)</f>
        <v>#REF!</v>
      </c>
      <c r="H89" s="7" t="e">
        <f t="shared" si="2"/>
        <v>#REF!</v>
      </c>
    </row>
    <row r="90" spans="1:8">
      <c r="A90" s="2" t="s">
        <v>99</v>
      </c>
      <c r="B90" s="3" t="s">
        <v>17</v>
      </c>
      <c r="C90" s="4">
        <v>1110.1438007946449</v>
      </c>
      <c r="D90" s="4">
        <v>93.369901699307079</v>
      </c>
      <c r="E90" s="5">
        <v>40.15603996482924</v>
      </c>
      <c r="F90" s="6">
        <v>84.055467593368888</v>
      </c>
      <c r="G90" s="7" t="e">
        <f>#REF! + (#REF! * C90) + (#REF! * D90) + (#REF! * E90)</f>
        <v>#REF!</v>
      </c>
      <c r="H90" s="7" t="e">
        <f t="shared" si="2"/>
        <v>#REF!</v>
      </c>
    </row>
    <row r="91" spans="1:8">
      <c r="A91" s="2" t="s">
        <v>100</v>
      </c>
      <c r="B91" s="3" t="s">
        <v>12</v>
      </c>
      <c r="C91" s="4">
        <v>595.54650720081713</v>
      </c>
      <c r="D91" s="4">
        <v>82.327181223335259</v>
      </c>
      <c r="E91" s="5">
        <v>38.635413528660017</v>
      </c>
      <c r="F91" s="6">
        <v>64.311813131622728</v>
      </c>
      <c r="G91" s="7" t="e">
        <f>#REF! + (#REF! * C91) + (#REF! * D91) + (#REF! * E91)</f>
        <v>#REF!</v>
      </c>
      <c r="H91" s="7" t="e">
        <f t="shared" si="2"/>
        <v>#REF!</v>
      </c>
    </row>
    <row r="92" spans="1:8">
      <c r="A92" s="2" t="s">
        <v>101</v>
      </c>
      <c r="B92" s="3" t="s">
        <v>9</v>
      </c>
      <c r="C92" s="4">
        <v>158.2968649634941</v>
      </c>
      <c r="D92" s="4">
        <v>68.129259553891643</v>
      </c>
      <c r="E92" s="5">
        <v>39.123017120046349</v>
      </c>
      <c r="F92" s="6">
        <v>44.507591625216833</v>
      </c>
      <c r="G92" s="7" t="e">
        <f>#REF! + (#REF! * C92) + (#REF! * D92) + (#REF! * E92)</f>
        <v>#REF!</v>
      </c>
      <c r="H92" s="7" t="e">
        <f t="shared" si="2"/>
        <v>#REF!</v>
      </c>
    </row>
    <row r="93" spans="1:8">
      <c r="A93" s="2" t="s">
        <v>102</v>
      </c>
      <c r="B93" s="3" t="s">
        <v>12</v>
      </c>
      <c r="C93" s="4">
        <v>894.42353615651382</v>
      </c>
      <c r="D93" s="4">
        <v>10.66641639449003</v>
      </c>
      <c r="E93" s="5">
        <v>38.077523505892572</v>
      </c>
      <c r="F93" s="6">
        <v>78.849048301503643</v>
      </c>
      <c r="G93" s="7" t="e">
        <f>#REF! + (#REF! * C93) + (#REF! * D93) + (#REF! * E93)</f>
        <v>#REF!</v>
      </c>
      <c r="H93" s="7" t="e">
        <f t="shared" si="2"/>
        <v>#REF!</v>
      </c>
    </row>
    <row r="94" spans="1:8">
      <c r="A94" s="2" t="s">
        <v>103</v>
      </c>
      <c r="B94" s="3" t="s">
        <v>12</v>
      </c>
      <c r="C94" s="4">
        <v>953.37346028495278</v>
      </c>
      <c r="D94" s="4">
        <v>18.647757551745219</v>
      </c>
      <c r="E94" s="5">
        <v>37.923517155904833</v>
      </c>
      <c r="F94" s="6">
        <v>82.47601906881242</v>
      </c>
      <c r="G94" s="7" t="e">
        <f>#REF! + (#REF! * C94) + (#REF! * D94) + (#REF! * E94)</f>
        <v>#REF!</v>
      </c>
      <c r="H94" s="7" t="e">
        <f t="shared" si="2"/>
        <v>#REF!</v>
      </c>
    </row>
    <row r="95" spans="1:8">
      <c r="A95" s="2" t="s">
        <v>104</v>
      </c>
      <c r="B95" s="3" t="s">
        <v>17</v>
      </c>
      <c r="C95" s="4">
        <v>705.98372498617528</v>
      </c>
      <c r="D95" s="4">
        <v>94.551081418289158</v>
      </c>
      <c r="E95" s="5">
        <v>40.641680402565981</v>
      </c>
      <c r="F95" s="6">
        <v>74.129944438243299</v>
      </c>
      <c r="G95" s="7" t="e">
        <f>#REF! + (#REF! * C95) + (#REF! * D95) + (#REF! * E95)</f>
        <v>#REF!</v>
      </c>
      <c r="H95" s="7" t="e">
        <f t="shared" si="2"/>
        <v>#REF!</v>
      </c>
    </row>
    <row r="96" spans="1:8">
      <c r="A96" s="2" t="s">
        <v>105</v>
      </c>
      <c r="B96" s="3" t="s">
        <v>17</v>
      </c>
      <c r="C96" s="4">
        <v>965.99930314365565</v>
      </c>
      <c r="D96" s="4">
        <v>64.462193144937771</v>
      </c>
      <c r="E96" s="5">
        <v>40.274342349485387</v>
      </c>
      <c r="F96" s="6">
        <v>92.048367586281913</v>
      </c>
      <c r="G96" s="7" t="e">
        <f>#REF! + (#REF! * C96) + (#REF! * D96) + (#REF! * E96)</f>
        <v>#REF!</v>
      </c>
      <c r="H96" s="7" t="e">
        <f t="shared" si="2"/>
        <v>#REF!</v>
      </c>
    </row>
    <row r="97" spans="1:8">
      <c r="A97" s="2" t="s">
        <v>106</v>
      </c>
      <c r="B97" s="3" t="s">
        <v>17</v>
      </c>
      <c r="C97" s="4">
        <v>622.30653949184455</v>
      </c>
      <c r="D97" s="4">
        <v>2.9472963165128538</v>
      </c>
      <c r="E97" s="5">
        <v>39.868325197671723</v>
      </c>
      <c r="F97" s="6">
        <v>100.6081108533822</v>
      </c>
      <c r="G97" s="7" t="e">
        <f>#REF! + (#REF! * C97) + (#REF! * D97) + (#REF! * E97)</f>
        <v>#REF!</v>
      </c>
      <c r="H97" s="7" t="e">
        <f t="shared" si="2"/>
        <v>#REF!</v>
      </c>
    </row>
    <row r="98" spans="1:8">
      <c r="A98" s="2" t="s">
        <v>107</v>
      </c>
      <c r="B98" s="3" t="s">
        <v>9</v>
      </c>
      <c r="C98" s="4">
        <v>658.18870843367267</v>
      </c>
      <c r="D98" s="4">
        <v>12.45156891520131</v>
      </c>
      <c r="E98" s="5">
        <v>39.035963538801383</v>
      </c>
      <c r="F98" s="6">
        <v>90.521691532355604</v>
      </c>
      <c r="G98" s="7" t="e">
        <f>#REF! + (#REF! * C98) + (#REF! * D98) + (#REF! * E98)</f>
        <v>#REF!</v>
      </c>
      <c r="H98" s="7" t="e">
        <f t="shared" ref="H98:H129" si="3">F98 - G98</f>
        <v>#REF!</v>
      </c>
    </row>
    <row r="99" spans="1:8">
      <c r="A99" s="2" t="s">
        <v>108</v>
      </c>
      <c r="B99" s="3" t="s">
        <v>12</v>
      </c>
      <c r="C99" s="4">
        <v>540.15086276460158</v>
      </c>
      <c r="D99" s="4">
        <v>70.340682218129743</v>
      </c>
      <c r="E99" s="5">
        <v>38.352553528205448</v>
      </c>
      <c r="F99" s="6">
        <v>61.153651859534733</v>
      </c>
      <c r="G99" s="7" t="e">
        <f>#REF! + (#REF! * C99) + (#REF! * D99) + (#REF! * E99)</f>
        <v>#REF!</v>
      </c>
      <c r="H99" s="7" t="e">
        <f t="shared" si="3"/>
        <v>#REF!</v>
      </c>
    </row>
    <row r="100" spans="1:8">
      <c r="A100" s="2" t="s">
        <v>109</v>
      </c>
      <c r="B100" s="3" t="s">
        <v>12</v>
      </c>
      <c r="C100" s="4">
        <v>41.519717162678027</v>
      </c>
      <c r="D100" s="4">
        <v>2.521343136160525</v>
      </c>
      <c r="E100" s="5">
        <v>38.303667423746148</v>
      </c>
      <c r="F100" s="6">
        <v>61.327253451165539</v>
      </c>
      <c r="G100" s="7" t="e">
        <f>#REF! + (#REF! * C100) + (#REF! * D100) + (#REF! * E100)</f>
        <v>#REF!</v>
      </c>
      <c r="H100" s="7" t="e">
        <f t="shared" si="3"/>
        <v>#REF!</v>
      </c>
    </row>
    <row r="101" spans="1:8">
      <c r="A101" s="2" t="s">
        <v>110</v>
      </c>
      <c r="B101" s="3" t="s">
        <v>12</v>
      </c>
      <c r="C101" s="4">
        <v>143.78536947169749</v>
      </c>
      <c r="D101" s="4">
        <v>18.563229296002358</v>
      </c>
      <c r="E101" s="5">
        <v>38.575704404677317</v>
      </c>
      <c r="F101" s="6">
        <v>56.106014092543703</v>
      </c>
      <c r="G101" s="7" t="e">
        <f>#REF! + (#REF! * C101) + (#REF! * D101) + (#REF! * E101)</f>
        <v>#REF!</v>
      </c>
      <c r="H101" s="7" t="e">
        <f t="shared" si="3"/>
        <v>#REF!</v>
      </c>
    </row>
    <row r="102" spans="1:8">
      <c r="A102" s="2" t="s">
        <v>111</v>
      </c>
      <c r="B102" s="3" t="s">
        <v>9</v>
      </c>
      <c r="C102" s="4">
        <v>48.972190251550472</v>
      </c>
      <c r="D102" s="4">
        <v>58.519580304758371</v>
      </c>
      <c r="E102" s="5">
        <v>39.442757327647747</v>
      </c>
      <c r="F102" s="6">
        <v>54.276583432309003</v>
      </c>
      <c r="G102" s="7" t="e">
        <f>#REF! + (#REF! * C102) + (#REF! * D102) + (#REF! * E102)</f>
        <v>#REF!</v>
      </c>
      <c r="H102" s="7" t="e">
        <f t="shared" si="3"/>
        <v>#REF!</v>
      </c>
    </row>
    <row r="103" spans="1:8">
      <c r="A103" s="2" t="s">
        <v>112</v>
      </c>
      <c r="B103" s="3" t="s">
        <v>17</v>
      </c>
      <c r="C103" s="4">
        <v>799.14890996708766</v>
      </c>
      <c r="D103" s="4">
        <v>73.265205362347402</v>
      </c>
      <c r="E103" s="5">
        <v>39.922328175830181</v>
      </c>
      <c r="F103" s="6">
        <v>77.991858640220798</v>
      </c>
      <c r="G103" s="7" t="e">
        <f>#REF! + (#REF! * C103) + (#REF! * D103) + (#REF! * E103)</f>
        <v>#REF!</v>
      </c>
      <c r="H103" s="7" t="e">
        <f t="shared" si="3"/>
        <v>#REF!</v>
      </c>
    </row>
    <row r="104" spans="1:8">
      <c r="A104" s="2" t="s">
        <v>113</v>
      </c>
      <c r="B104" s="3" t="s">
        <v>9</v>
      </c>
      <c r="C104" s="4">
        <v>399.80141653464511</v>
      </c>
      <c r="D104" s="4">
        <v>69.152009728767851</v>
      </c>
      <c r="E104" s="5">
        <v>39.764572392481419</v>
      </c>
      <c r="F104" s="6">
        <v>68.04622203919584</v>
      </c>
      <c r="G104" s="7" t="e">
        <f>#REF! + (#REF! * C104) + (#REF! * D104) + (#REF! * E104)</f>
        <v>#REF!</v>
      </c>
      <c r="H104" s="7" t="e">
        <f t="shared" si="3"/>
        <v>#REF!</v>
      </c>
    </row>
    <row r="105" spans="1:8">
      <c r="A105" s="2" t="s">
        <v>114</v>
      </c>
      <c r="B105" s="3" t="s">
        <v>12</v>
      </c>
      <c r="C105" s="4">
        <v>640.62765704423146</v>
      </c>
      <c r="D105" s="4">
        <v>25.099738874437659</v>
      </c>
      <c r="E105" s="5">
        <v>38.661808301143232</v>
      </c>
      <c r="F105" s="6">
        <v>73.552512617525807</v>
      </c>
      <c r="G105" s="7" t="e">
        <f>#REF! + (#REF! * C105) + (#REF! * D105) + (#REF! * E105)</f>
        <v>#REF!</v>
      </c>
      <c r="H105" s="7" t="e">
        <f t="shared" si="3"/>
        <v>#REF!</v>
      </c>
    </row>
    <row r="106" spans="1:8">
      <c r="A106" s="2" t="s">
        <v>115</v>
      </c>
      <c r="B106" s="3" t="s">
        <v>17</v>
      </c>
      <c r="C106" s="4">
        <v>1135.3824276683549</v>
      </c>
      <c r="D106" s="4">
        <v>75.354459798796199</v>
      </c>
      <c r="E106" s="5">
        <v>40.619109313923261</v>
      </c>
      <c r="F106" s="6">
        <v>98.657030624277766</v>
      </c>
      <c r="G106" s="7" t="e">
        <f>#REF! + (#REF! * C106) + (#REF! * D106) + (#REF! * E106)</f>
        <v>#REF!</v>
      </c>
      <c r="H106" s="7" t="e">
        <f t="shared" si="3"/>
        <v>#REF!</v>
      </c>
    </row>
    <row r="107" spans="1:8">
      <c r="A107" s="2" t="s">
        <v>116</v>
      </c>
      <c r="B107" s="3" t="s">
        <v>17</v>
      </c>
      <c r="C107" s="4">
        <v>319.12236414460489</v>
      </c>
      <c r="D107" s="4">
        <v>26.43665601217041</v>
      </c>
      <c r="E107" s="5">
        <v>39.989901058417729</v>
      </c>
      <c r="F107" s="6">
        <v>85.155868208041255</v>
      </c>
      <c r="G107" s="7" t="e">
        <f>#REF! + (#REF! * C107) + (#REF! * D107) + (#REF! * E107)</f>
        <v>#REF!</v>
      </c>
      <c r="H107" s="7" t="e">
        <f t="shared" si="3"/>
        <v>#REF!</v>
      </c>
    </row>
    <row r="108" spans="1:8">
      <c r="A108" s="2" t="s">
        <v>117</v>
      </c>
      <c r="B108" s="3" t="s">
        <v>9</v>
      </c>
      <c r="C108" s="4">
        <v>518.87482456418093</v>
      </c>
      <c r="D108" s="4">
        <v>35.516168910404573</v>
      </c>
      <c r="E108" s="5">
        <v>39.457626752283062</v>
      </c>
      <c r="F108" s="6">
        <v>76.054893253436305</v>
      </c>
      <c r="G108" s="7" t="e">
        <f>#REF! + (#REF! * C108) + (#REF! * D108) + (#REF! * E108)</f>
        <v>#REF!</v>
      </c>
      <c r="H108" s="7" t="e">
        <f t="shared" si="3"/>
        <v>#REF!</v>
      </c>
    </row>
    <row r="109" spans="1:8">
      <c r="A109" s="2" t="s">
        <v>118</v>
      </c>
      <c r="B109" s="3" t="s">
        <v>9</v>
      </c>
      <c r="C109" s="4">
        <v>946.88341179338033</v>
      </c>
      <c r="D109" s="4">
        <v>78.888614727156494</v>
      </c>
      <c r="E109" s="5">
        <v>39.623990164079622</v>
      </c>
      <c r="F109" s="6">
        <v>84.479878612275115</v>
      </c>
      <c r="G109" s="7" t="e">
        <f>#REF! + (#REF! * C109) + (#REF! * D109) + (#REF! * E109)</f>
        <v>#REF!</v>
      </c>
      <c r="H109" s="7" t="e">
        <f t="shared" si="3"/>
        <v>#REF!</v>
      </c>
    </row>
    <row r="110" spans="1:8">
      <c r="A110" s="2" t="s">
        <v>119</v>
      </c>
      <c r="B110" s="3" t="s">
        <v>9</v>
      </c>
      <c r="C110" s="4">
        <v>293.70972520961192</v>
      </c>
      <c r="D110" s="4">
        <v>68.912188601863107</v>
      </c>
      <c r="E110" s="5">
        <v>39.06684018104059</v>
      </c>
      <c r="F110" s="6">
        <v>62.628733189254888</v>
      </c>
      <c r="G110" s="7" t="e">
        <f>#REF! + (#REF! * C110) + (#REF! * D110) + (#REF! * E110)</f>
        <v>#REF!</v>
      </c>
      <c r="H110" s="7" t="e">
        <f t="shared" si="3"/>
        <v>#REF!</v>
      </c>
    </row>
    <row r="111" spans="1:8">
      <c r="A111" s="2" t="s">
        <v>120</v>
      </c>
      <c r="B111" s="3" t="s">
        <v>12</v>
      </c>
      <c r="C111" s="4">
        <v>105.4550881877033</v>
      </c>
      <c r="D111" s="4">
        <v>89.470011280900323</v>
      </c>
      <c r="E111" s="5">
        <v>38.56841986955336</v>
      </c>
      <c r="F111" s="6">
        <v>40.799917931689542</v>
      </c>
      <c r="G111" s="7" t="e">
        <f>#REF! + (#REF! * C111) + (#REF! * D111) + (#REF! * E111)</f>
        <v>#REF!</v>
      </c>
      <c r="H111" s="7" t="e">
        <f t="shared" si="3"/>
        <v>#REF!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Estaciones_Datos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Lina contreras</cp:lastModifiedBy>
  <dcterms:created xsi:type="dcterms:W3CDTF">2026-10-22T16:27:13Z</dcterms:created>
  <dcterms:modified xsi:type="dcterms:W3CDTF">2026-10-22T16:31:15Z</dcterms:modified>
</cp:coreProperties>
</file>